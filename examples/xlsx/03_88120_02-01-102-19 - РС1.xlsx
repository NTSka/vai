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17895" windowHeight="13230"/>
  </bookViews>
  <sheets>
    <sheet name="03_88120_02-01-102-19 - РС" sheetId="1" r:id="rId1"/>
  </sheets>
  <definedNames>
    <definedName name="_xlnm.Print_Titles" localSheetId="0">'03_88120_02-01-102-19 - РС'!$22:$22</definedName>
  </definedNames>
  <calcPr calcId="145621" refMode="R1C1"/>
</workbook>
</file>

<file path=xl/calcChain.xml><?xml version="1.0" encoding="utf-8"?>
<calcChain xmlns="http://schemas.openxmlformats.org/spreadsheetml/2006/main">
  <c r="A211" i="1" l="1"/>
  <c r="A209" i="1"/>
  <c r="A208" i="1"/>
  <c r="A207" i="1"/>
  <c r="A206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</calcChain>
</file>

<file path=xl/sharedStrings.xml><?xml version="1.0" encoding="utf-8"?>
<sst xmlns="http://schemas.openxmlformats.org/spreadsheetml/2006/main" count="831" uniqueCount="466">
  <si>
    <t>Наименование стройки -</t>
  </si>
  <si>
    <t>Магистральный газопровод Сахалин – Хабаровск - Владивосток
Этап 10.1. КС-6 «Хабаровская». Два технологических модуля мощностью ГПА 16 МВт каждый
Этап 10.2. КС-6 «Хабаровская». Один технологический модуль мощностью ГПА 16 МВт</t>
  </si>
  <si>
    <t>Форма 4А</t>
  </si>
  <si>
    <t>Локальный ресурсный сметный расчет</t>
  </si>
  <si>
    <t>(локальная смета)</t>
  </si>
  <si>
    <t xml:space="preserve">на </t>
  </si>
  <si>
    <t>Строительные работы. Этап 10.2. КС-6 «Хабаровская». Один технологический модуль мощностью ГПА16МВт. Агрегат газоперекачивающий ГПА 16 МВт. Конструкции железобетонные</t>
  </si>
  <si>
    <t>Наименование объекта -</t>
  </si>
  <si>
    <t/>
  </si>
  <si>
    <t>(наименование работ и затрат, наименование объекта)</t>
  </si>
  <si>
    <t>Код ИУС</t>
  </si>
  <si>
    <t>Основание:</t>
  </si>
  <si>
    <t>0471.020.П.10/2.0003.КС.006.1029.001-КЖ</t>
  </si>
  <si>
    <t>Сметная стоимость, тыс. руб.:</t>
  </si>
  <si>
    <t>Нормативная трудоемкость основных рабочих, чел.ч.:</t>
  </si>
  <si>
    <t>Нормативная трудоемкость машинистов, чел.ч.:</t>
  </si>
  <si>
    <t>Сметная заработная плата основных рабочих, тыс. руб.:</t>
  </si>
  <si>
    <t>Сметная заработная плата машинистов, тыс. руб.:</t>
  </si>
  <si>
    <t>№ п.п.</t>
  </si>
  <si>
    <t>Обоснование</t>
  </si>
  <si>
    <t>Наименование</t>
  </si>
  <si>
    <t>Единица измерения</t>
  </si>
  <si>
    <t>Общее кол-во</t>
  </si>
  <si>
    <t>Сметная стоимость в текущих ценах, руб.</t>
  </si>
  <si>
    <t>На ед.</t>
  </si>
  <si>
    <t>Общая</t>
  </si>
  <si>
    <t>2</t>
  </si>
  <si>
    <t>Ресурсы подрядчика</t>
  </si>
  <si>
    <t xml:space="preserve">          Трудозатраты</t>
  </si>
  <si>
    <t>1-100-15</t>
  </si>
  <si>
    <t>Средний разряд работы 1,5 (ср 1,5)</t>
  </si>
  <si>
    <t>чел.-ч</t>
  </si>
  <si>
    <t xml:space="preserve">1 </t>
  </si>
  <si>
    <t>1-100-17</t>
  </si>
  <si>
    <t>Средний разряд работы 1,7 (ср 1,7)</t>
  </si>
  <si>
    <t>1-100-18</t>
  </si>
  <si>
    <t>Средний разряд работы 1,8 (ср 1,8)</t>
  </si>
  <si>
    <t>1-100-20</t>
  </si>
  <si>
    <t>Средний разряд работы 2,0 (ср 2)</t>
  </si>
  <si>
    <t>1-100-22</t>
  </si>
  <si>
    <t>Средний разряд работы 2,2 (ср 2,2)</t>
  </si>
  <si>
    <t>1-100-23</t>
  </si>
  <si>
    <t>Средний разряд работы 2,3 (ср 2,3)</t>
  </si>
  <si>
    <t>1-100-25</t>
  </si>
  <si>
    <t>Средний разряд работы 2,5 (ср 2,5)</t>
  </si>
  <si>
    <t>1-100-28</t>
  </si>
  <si>
    <t>Средний разряд работы 2,8 (ср 2,8)</t>
  </si>
  <si>
    <t>1-100-30</t>
  </si>
  <si>
    <t>Средний разряд работы 3,0 (ср 3)</t>
  </si>
  <si>
    <t>1-100-31</t>
  </si>
  <si>
    <t>Средний разряд работы 3,1 (ср 3,1)</t>
  </si>
  <si>
    <t>1-100-32</t>
  </si>
  <si>
    <t>Средний разряд работы 3,2 (ср 3,2)</t>
  </si>
  <si>
    <t>1-100-33</t>
  </si>
  <si>
    <t>Средний разряд работы 3,3 (ср 3,3)</t>
  </si>
  <si>
    <t>1-100-34</t>
  </si>
  <si>
    <t>Средний разряд работы 3,4 (ср 3,4)</t>
  </si>
  <si>
    <t>1-100-35</t>
  </si>
  <si>
    <t>Средний разряд работы 3,5 (ср 3,5)</t>
  </si>
  <si>
    <t>1-100-36</t>
  </si>
  <si>
    <t>Средний разряд работы 3,6 (ср 3,6)</t>
  </si>
  <si>
    <t>1-100-37</t>
  </si>
  <si>
    <t>Средний разряд работы 3,7 (ср 3,7)</t>
  </si>
  <si>
    <t>1-100-38</t>
  </si>
  <si>
    <t>Средний разряд работы 3,8 (ср 3,8)</t>
  </si>
  <si>
    <t>1-100-39</t>
  </si>
  <si>
    <t>Средний разряд работы 3,9 (ср 3,9)</t>
  </si>
  <si>
    <t>1-100-40</t>
  </si>
  <si>
    <t>Средний разряд работы 4,0 (ср 4)</t>
  </si>
  <si>
    <t>1-100-44</t>
  </si>
  <si>
    <t>Средний разряд работы 4,4 (ср 4,4)</t>
  </si>
  <si>
    <t>1-100-49</t>
  </si>
  <si>
    <t>Средний разряд работы 4,9 (ср 4,9)</t>
  </si>
  <si>
    <t>1-100-50</t>
  </si>
  <si>
    <t>Средний разряд работы 5,0 (ср 5)</t>
  </si>
  <si>
    <t>Затраты труда машинистов</t>
  </si>
  <si>
    <t>2-100-01</t>
  </si>
  <si>
    <t>Рабочий 1 разряда (ср 1)</t>
  </si>
  <si>
    <t>2-100-02</t>
  </si>
  <si>
    <t>Рабочий 2 разряда (ср 2)</t>
  </si>
  <si>
    <t>2-100-03</t>
  </si>
  <si>
    <t>Рабочий 3 разряда (ср 3)</t>
  </si>
  <si>
    <t>2-100-04</t>
  </si>
  <si>
    <t>Рабочий 4 разряда (ср 4)</t>
  </si>
  <si>
    <t>Итого "Трудозатраты"</t>
  </si>
  <si>
    <t>руб</t>
  </si>
  <si>
    <t xml:space="preserve">          Машины и механизмы</t>
  </si>
  <si>
    <t>91.01.01-035</t>
  </si>
  <si>
    <t>Бульдозеры, мощность 79 кВт (108 л.с.)</t>
  </si>
  <si>
    <t>маш.час</t>
  </si>
  <si>
    <t>1 939,50
----------
482,42</t>
  </si>
  <si>
    <t>16 363,18
----------
4 070,08</t>
  </si>
  <si>
    <t>91.01.01-039</t>
  </si>
  <si>
    <t>Бульдозеры, мощность 132 кВт (180 л.с.)</t>
  </si>
  <si>
    <t>3 316,32
----------
482,42</t>
  </si>
  <si>
    <t>3 092,47
----------
449,86</t>
  </si>
  <si>
    <t>91.01.02-004</t>
  </si>
  <si>
    <t>Автогрейдеры среднего типа, мощность 99 кВт (135 л.с.)</t>
  </si>
  <si>
    <t>3 304,16
----------
430,73</t>
  </si>
  <si>
    <t>15 767,13
----------
2 055,40</t>
  </si>
  <si>
    <t>91.01.05-087</t>
  </si>
  <si>
    <t>Экскаваторы одноковшовые дизельные на гусеничном ходу, объем ковша 1,0 м3</t>
  </si>
  <si>
    <t>2 511,66
----------
482,42</t>
  </si>
  <si>
    <t>27 662,41
----------
5 313,18</t>
  </si>
  <si>
    <t>91.02.02-003</t>
  </si>
  <si>
    <t>Агрегаты копровые без дизель-молота на базе экскаватора с емкостью ковша 1 м3</t>
  </si>
  <si>
    <t>2 337,11
----------
561,92</t>
  </si>
  <si>
    <t>326 253,08
----------
78 442,23</t>
  </si>
  <si>
    <t>91.02.03-024</t>
  </si>
  <si>
    <t>Дизель-молоты, вес ударной части 2,5 т</t>
  </si>
  <si>
    <t>91.02.04-043</t>
  </si>
  <si>
    <t>Установки буровые шнекового бурения скважин на гусеничном ходу, диаметр при бурении до 800 мм, глубина до 20 м, крутящий момент 150-250 кНм</t>
  </si>
  <si>
    <t>15 647,53
----------
1 044,34</t>
  </si>
  <si>
    <t>1 451 860,77
----------
96 899,40</t>
  </si>
  <si>
    <t>91.05.01-017</t>
  </si>
  <si>
    <t>Краны башенные, грузоподъемность 8 т</t>
  </si>
  <si>
    <t>2 272,48
----------
430,73</t>
  </si>
  <si>
    <t>10 439,32
----------
1 978,69</t>
  </si>
  <si>
    <t>91.05.05-015</t>
  </si>
  <si>
    <t>Краны на автомобильном ходу, грузоподъемность 16 т</t>
  </si>
  <si>
    <t>2 669,58
----------
482,42</t>
  </si>
  <si>
    <t>37 293,23
----------
6 739,27</t>
  </si>
  <si>
    <t>91.05.06-007</t>
  </si>
  <si>
    <t>Краны на гусеничном ходу, грузоподъемность 25 т</t>
  </si>
  <si>
    <t>2 877,54
----------
482,42</t>
  </si>
  <si>
    <t>390 605,34
----------
65 485,04</t>
  </si>
  <si>
    <t>91.06.03-055</t>
  </si>
  <si>
    <t>Лебедки электрические тяговым усилием 19,62 кН (2 т)</t>
  </si>
  <si>
    <t>91.06.03-060</t>
  </si>
  <si>
    <t>Лебедки электрические тяговым усилием до 5,79 кН (0,59 т)</t>
  </si>
  <si>
    <t>91.06.03-062</t>
  </si>
  <si>
    <t>Лебедки электрические тяговым усилием до 31,39 кН (3,2 т)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</si>
  <si>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</si>
  <si>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</si>
  <si>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2 621,49
----------
384,58</t>
  </si>
  <si>
    <t>28 248,42
----------
4 144,13</t>
  </si>
  <si>
    <t>91.06.05-016</t>
  </si>
  <si>
    <t>Автопогрузчики вилочные, грузоподъемность 5 т</t>
  </si>
  <si>
    <t>1 617,38
----------
384,58</t>
  </si>
  <si>
    <t>145,56
----------
34,61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</si>
  <si>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</si>
  <si>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</si>
  <si>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1 955,99
----------
384,58</t>
  </si>
  <si>
    <t>14 855,75
----------
2 920,89</t>
  </si>
  <si>
    <t>91.06.06-048</t>
  </si>
  <si>
    <t>Подъемники одномачтовые, грузоподъемность до 500 кг, высота подъема 45 м</t>
  </si>
  <si>
    <t>520,27
----------
482,42</t>
  </si>
  <si>
    <t>676,35
----------
627,15</t>
  </si>
  <si>
    <t>91.06.09-021</t>
  </si>
  <si>
    <t>Люльки одноместные самоподъемные, грузоподъемность 120 кг</t>
  </si>
  <si>
    <t>91.07.04-001</t>
  </si>
  <si>
    <t>Вибраторы глубинные</t>
  </si>
  <si>
    <t>91.07.04-002</t>
  </si>
  <si>
    <t>Вибраторы поверхностные</t>
  </si>
  <si>
    <t>91.07.08-024</t>
  </si>
  <si>
    <t>Растворосмесители передвижные, объем барабана 65 л</t>
  </si>
  <si>
    <t>396,36
----------
343,38</t>
  </si>
  <si>
    <t>5,19
----------
4,50</t>
  </si>
  <si>
    <t>91.08.03-030</t>
  </si>
  <si>
    <t>Катки самоходные пневмоколесные статические, масса 30 т</t>
  </si>
  <si>
    <t>4 992,67
----------
482,42</t>
  </si>
  <si>
    <t>122 948,49
----------
11 879,98</t>
  </si>
  <si>
    <t>91.08.04-021</t>
  </si>
  <si>
    <t>Котлы битумные передвижные электрические с центробежной мешалкой, объем загрузочной емкости 400 л</t>
  </si>
  <si>
    <t>91.08.07-014</t>
  </si>
  <si>
    <t>Распределители цемента на шасси автомобильного типа, объем бункера 10 м3</t>
  </si>
  <si>
    <t>2 078,62
----------
384,58</t>
  </si>
  <si>
    <t>4 652,99
----------
860,88</t>
  </si>
  <si>
    <t>91.08.09-001</t>
  </si>
  <si>
    <t>Виброплиты с двигателем внутреннего сгорания</t>
  </si>
  <si>
    <t>91.08.09-023</t>
  </si>
  <si>
    <t>Трамбовки пневматические при работе от передвижных компрессорных установок</t>
  </si>
  <si>
    <t>91.08.09-024</t>
  </si>
  <si>
    <t>Трамбовки пневматические при работе от стационарного компрессора</t>
  </si>
  <si>
    <t>91.08.10-052</t>
  </si>
  <si>
    <t>Фрезы навесные дорожные на тракторе, мощность 121 кВт (165 л.с.)</t>
  </si>
  <si>
    <t>1 847,94
----------
482,42</t>
  </si>
  <si>
    <t>6 625,97
----------
1 729,77</t>
  </si>
  <si>
    <t>91.10.05-009</t>
  </si>
  <si>
    <t>Трубоукладчики, номинальная грузоподъемность 35 т</t>
  </si>
  <si>
    <t>7 898,36
----------
583,53</t>
  </si>
  <si>
    <t>166 838,64
----------
12 326,02</t>
  </si>
  <si>
    <t>91.13.01-038</t>
  </si>
  <si>
    <t>Машины поливомоечные, вместимость цистерны 6 м3</t>
  </si>
  <si>
    <t>1 477,01
----------
384,58</t>
  </si>
  <si>
    <t>3 159,77
----------
822,73</t>
  </si>
  <si>
    <t>91.14.01-002</t>
  </si>
  <si>
    <t>Автобетоносмесители: 5 м3</t>
  </si>
  <si>
    <t>маш.-ч</t>
  </si>
  <si>
    <t>2 733,86
----------
456,58</t>
  </si>
  <si>
    <t>135 110,12
----------
22 564,64</t>
  </si>
  <si>
    <t>91.14.02-001</t>
  </si>
  <si>
    <t>Автомобили бортовые, грузоподъемность до 5 т</t>
  </si>
  <si>
    <t>1 394,16
----------
384,58</t>
  </si>
  <si>
    <t>47 080,24
----------
12 987,14</t>
  </si>
  <si>
    <t>91.14.04-001</t>
  </si>
  <si>
    <t>Тягачи седельные, нагрузка на седельно-сцепное устройство до 12 т</t>
  </si>
  <si>
    <t>2 392,24
----------
456,58</t>
  </si>
  <si>
    <t>6 591,10
----------
1 257,97</t>
  </si>
  <si>
    <t>91.14.05-012</t>
  </si>
  <si>
    <t>Полуприцепы общего назначения, грузоподъемность до 15 т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</si>
  <si>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</si>
  <si>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</si>
  <si>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</si>
  <si>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</si>
  <si>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91.17.04-233</t>
  </si>
  <si>
    <t>Аппараты сварочные для ручной дуговой сварки, сварочный ток до 350 А</t>
  </si>
  <si>
    <t>91.18.01-004</t>
  </si>
  <si>
    <t>Компрессоры винтовые передвижные с двигателем внутреннего сгорания, давление до 1 МПа (10 атм), производительность до 10 м3/мин</t>
  </si>
  <si>
    <t>2 099,92
----------
343,38</t>
  </si>
  <si>
    <t>23 044,31
----------
3 768,22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</si>
  <si>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</si>
  <si>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</si>
  <si>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990,07
----------
343,38</t>
  </si>
  <si>
    <t>47 757,81
----------
16 563,55</t>
  </si>
  <si>
    <t>91.21.01-012</t>
  </si>
  <si>
    <t>Агрегаты окрасочные высокого давления для окраски поверхностей конструкций, мощность 1 кВт</t>
  </si>
  <si>
    <t>91.21.02-001</t>
  </si>
  <si>
    <t>Аппараты высокого давления электрические для гидроочистки поверхностей, производительность 17 л/мин, давление 50 МПа</t>
  </si>
  <si>
    <t>91.21.03-507</t>
  </si>
  <si>
    <t>Аппараты абразивоструйные при работе от передвижных компрессорных установок, объем до 200 л, расход воздуха до 16 м3/мин</t>
  </si>
  <si>
    <t>91.21.10-002</t>
  </si>
  <si>
    <t>Молотки отбойные пневматические при работе от передвижных компрессоров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</si>
  <si>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</si>
  <si>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</si>
  <si>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91.21.22-638</t>
  </si>
  <si>
    <t>Пылесосы промышленные, мощность до 2000 Вт</t>
  </si>
  <si>
    <t>Итого "Машины и механизмы"</t>
  </si>
  <si>
    <t xml:space="preserve">          Материалы</t>
  </si>
  <si>
    <t>01.2.01.02-0054</t>
  </si>
  <si>
    <t>Битумы нефтяные строительные БН-90/10</t>
  </si>
  <si>
    <t>т</t>
  </si>
  <si>
    <t>01.2.03.03-0045</t>
  </si>
  <si>
    <t>Мастика битумно-полимерная</t>
  </si>
  <si>
    <t>01.3.01.03-0002</t>
  </si>
  <si>
    <t>Керосин для технических целей</t>
  </si>
  <si>
    <t>01.3.02.03-0001</t>
  </si>
  <si>
    <t>Ацетилен газообразный технический</t>
  </si>
  <si>
    <t>м3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</si>
  <si>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</si>
  <si>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</si>
  <si>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</si>
  <si>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</si>
  <si>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кг</t>
  </si>
  <si>
    <t>01.4.01.10-0000-0021</t>
  </si>
  <si>
    <t xml:space="preserve">Шнек полый герметичный ШГ-250 диаметром 250 мм длиной 1500 мм </t>
  </si>
  <si>
    <t>шт</t>
  </si>
  <si>
    <t>01.7.03.01-0001</t>
  </si>
  <si>
    <t>Вода</t>
  </si>
  <si>
    <t>01.7.03.04-0001</t>
  </si>
  <si>
    <t>Электроэнергия</t>
  </si>
  <si>
    <t>кВт-ч</t>
  </si>
  <si>
    <t>01.7.06.01-0000-0003</t>
  </si>
  <si>
    <t>Лента демпферная ENERGOFLOOR, 10*0,10-11 (или эквивалент)</t>
  </si>
  <si>
    <t>01.7.06.14-0041</t>
  </si>
  <si>
    <t>Лента тканевая с липким слоем</t>
  </si>
  <si>
    <t>10 м</t>
  </si>
  <si>
    <t>01.7.07.12-0024</t>
  </si>
  <si>
    <t>Пленка полиэтиленовая, толщина 0,15 мм</t>
  </si>
  <si>
    <t>м2</t>
  </si>
  <si>
    <t>01.7.07.29-0111</t>
  </si>
  <si>
    <t>Пакля смоляная пропитанная</t>
  </si>
  <si>
    <t>01.7.11.07-0000-0406</t>
  </si>
  <si>
    <t>Электроды диаметром 4-5 мм тип Э46</t>
  </si>
  <si>
    <t>01.7.11.07-0000-0422</t>
  </si>
  <si>
    <t>Электроды диаметром 5 мм марки УОНИИ-13/45 типа Э-42А</t>
  </si>
  <si>
    <t>01.7.11.07-0000-0423</t>
  </si>
  <si>
    <t>Электроды диаметром 6 мм марки АНО-6 типа Э-42</t>
  </si>
  <si>
    <t>01.7.11.07-0000-0424</t>
  </si>
  <si>
    <t>Электроды диаметром 6 мм типа Э-42</t>
  </si>
  <si>
    <t>01.7.11.07-0000-0428</t>
  </si>
  <si>
    <t>Электроды диаметром 6 мм тип Э46</t>
  </si>
  <si>
    <t>01.7.12.04-0000-0003</t>
  </si>
  <si>
    <t>Профилированная ПВП мембрана Тефонд НР Стар (прим.)</t>
  </si>
  <si>
    <t>01.7.15.03-0042</t>
  </si>
  <si>
    <t>Болты с гайками и шайбами строительные</t>
  </si>
  <si>
    <t>01.7.15.06-0111</t>
  </si>
  <si>
    <t>Гвозди строительные</t>
  </si>
  <si>
    <t>01.7.15.06-0121</t>
  </si>
  <si>
    <t>Гвозди стальные строительные, диаметр 1,6 мм, длина 50 мм</t>
  </si>
  <si>
    <t>01.7.15.07-0007</t>
  </si>
  <si>
    <t>Дюбели пластмассовые, диаметр 14 мм / Дюбель тарельчатый, прим.</t>
  </si>
  <si>
    <t>100 шт</t>
  </si>
  <si>
    <t>01.7.17.08-0001</t>
  </si>
  <si>
    <t>Купрошлак</t>
  </si>
  <si>
    <t>01.7.19.06-0005</t>
  </si>
  <si>
    <t>Прокладки уплотнительная ПРП, диаметр 40 мм</t>
  </si>
  <si>
    <t>м</t>
  </si>
  <si>
    <t>01.7.20.08-0051</t>
  </si>
  <si>
    <t>Ветошь</t>
  </si>
  <si>
    <t>01.7.20.08-0071</t>
  </si>
  <si>
    <t>Канат пеньковый тросовой свивки, пропитанный, диаметр 26 мм</t>
  </si>
  <si>
    <t>03.1.02.03-0011</t>
  </si>
  <si>
    <t>Известь строительная негашеная комовая, сорт I</t>
  </si>
  <si>
    <t>03.2.01.01-0001</t>
  </si>
  <si>
    <t>Портландцемент общестроительного назначения бездобавочный М400 Д0 (ЦЕМ I 32,5Н)</t>
  </si>
  <si>
    <t>03.2.01.02-0000-0003</t>
  </si>
  <si>
    <t>Портландцемент общестроительного назначения марки 400 Д20, ГОСТ 10178-85</t>
  </si>
  <si>
    <t>04.1.02.05-0003</t>
  </si>
  <si>
    <t>Смеси бетонные тяжелого бетона (БСТ), класс В7,5 (М100)</t>
  </si>
  <si>
    <t>04.1.02.05-0065</t>
  </si>
  <si>
    <t>Бетон тяжелый, крупность заполнителя: 40 мм, класс В30 (М400)</t>
  </si>
  <si>
    <t>04.1.02.05-0091</t>
  </si>
  <si>
    <t>Бетон тяжелый на гранитном щебне, крупность заполнителя 10 мм, класс В30 (М400)</t>
  </si>
  <si>
    <t>04.3.01.07-0013</t>
  </si>
  <si>
    <t>Раствор готовый отделочный тяжелый, известковый, состав 1:3</t>
  </si>
  <si>
    <t>04.3.01.09-0014</t>
  </si>
  <si>
    <t>Раствор готовый кладочный, цементный, М100</t>
  </si>
  <si>
    <t>04.3.01.12-0001</t>
  </si>
  <si>
    <t>Раствор кладочный, цементно-известковый, М10</t>
  </si>
  <si>
    <t>04.3.02.09-0000-0009</t>
  </si>
  <si>
    <t>Смесь бетонная сухая безусадочная быстродействующая MASTERFLOW 928/ EMACO S55 для высокоточной цементации оборудования, наливного типа мелкозернистая (или эквивалент) (расход на 1 м3 раствора необходимо 2100 кг сухой смеси)</t>
  </si>
  <si>
    <t>04.3.02.09-0000-0041</t>
  </si>
  <si>
    <t>Смесь сухая для заделки швов</t>
  </si>
  <si>
    <t>05.1.05.09-0000-0005</t>
  </si>
  <si>
    <t>Свая забивная железобетонная цельная, квадратного сплошного сечения, с ненапрягаемой арматурой, С 90-30-13, серия 1.011.1-10, ГОСТ 19804-91 (прим.)</t>
  </si>
  <si>
    <t>05.2.02.01-0041</t>
  </si>
  <si>
    <t>Блоки бетонные для стен подвалов полнотелые ФБС12-4-6-П, бетон В7,5 (М100, объем 0,265 м3, расход арматуры 0,76 кг</t>
  </si>
  <si>
    <t>05.2.04.04-0000-0006</t>
  </si>
  <si>
    <t>Плиты тротуарные, ГОСТ 17608-91, 6К7 (500х500х70мм)</t>
  </si>
  <si>
    <t>06.2.03.02-0000-0009</t>
  </si>
  <si>
    <t>Плитки керамогранитные фасадные и ковры из них неглазурованные гладкие толщиной 8 мм, прим.</t>
  </si>
  <si>
    <t>07.2.07.02-0001</t>
  </si>
  <si>
    <t>Кондуктор инвентарный металлический</t>
  </si>
  <si>
    <t>07.2.07.04-0014</t>
  </si>
  <si>
    <t>Конструкции сварные индивидуальные прочие, масса сборочной единицы от 0,1 до 0,5 т</t>
  </si>
  <si>
    <t>07.2.07.12-0001</t>
  </si>
  <si>
    <t>Металлоконструкции вспомогательного назначения с преобладанием толстолистовой стали или профильного проката, с отверстиями и без</t>
  </si>
  <si>
    <t>07.2.07.12-0024</t>
  </si>
  <si>
    <t>Элементы конструктивные зданий и сооружений с преобладанием толстолистовой стали, средняя масса сборочной единицы до 0,5 т</t>
  </si>
  <si>
    <t>08.1.02.17-0012</t>
  </si>
  <si>
    <t>Сетка плетеная из оцинкованной проволоки, диаметр проволоки 2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</si>
  <si>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</si>
  <si>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</si>
  <si>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08.3.02.01-0041</t>
  </si>
  <si>
    <t>Ленты стальные упаковочные, мягкие, нормальной точности по толщине и ширине 0,7х20-50 мм</t>
  </si>
  <si>
    <t>08.3.03.05-0011</t>
  </si>
  <si>
    <t>Проволока стальная низкоуглеродистая оцинкованная разного назначения, диаметр 1,1 мм</t>
  </si>
  <si>
    <t>08.3.03.06-0001</t>
  </si>
  <si>
    <t>Проволока вязальная</t>
  </si>
  <si>
    <t>08.3.04.01-0000-0002</t>
  </si>
  <si>
    <t>Катанка горячекатаная в мотках диаметром 6,3-6,5 мм</t>
  </si>
  <si>
    <t>08.3.11.01-0094</t>
  </si>
  <si>
    <t>Швеллеры № 40, марка стали Ст3сп</t>
  </si>
  <si>
    <t>08.4.01.01-0022</t>
  </si>
  <si>
    <t>Детали анкерные с резьбой из прямых или гнутых круглых стержней</t>
  </si>
  <si>
    <t>08.4.01.02-0000-0003</t>
  </si>
  <si>
    <t>Детали закладные весом свыше 5 кг</t>
  </si>
  <si>
    <t>08.4.01.02-0000-0004</t>
  </si>
  <si>
    <t>Детали закладные весом с 1 до 5 кг</t>
  </si>
  <si>
    <t>08.4.01.02-0001</t>
  </si>
  <si>
    <t>Детали закладные, вес до 1 кг</t>
  </si>
  <si>
    <t>08.4.02.05-0000-0002</t>
  </si>
  <si>
    <t>Сетка сварная из арматурной стали</t>
  </si>
  <si>
    <t>08.4.03.02-0002</t>
  </si>
  <si>
    <t>Сталь арматурная, горячекатаная, гладкая, класс А-I, диаметр 8 мм</t>
  </si>
  <si>
    <t>08.4.03.03-0003</t>
  </si>
  <si>
    <t>Сталь арматурная рифленая свариваемая, класс A500С, диаметр 10 мм</t>
  </si>
  <si>
    <t>08.4.03.03-0006</t>
  </si>
  <si>
    <t>Сталь арматурная рифленая свариваемая, класс A500С, диаметр 16 мм</t>
  </si>
  <si>
    <t>08.4.03.03-0008</t>
  </si>
  <si>
    <t>Сталь арматурная рифленая свариваемая, класс A500С, диаметр 20 мм</t>
  </si>
  <si>
    <t>08.4.03.03-0009</t>
  </si>
  <si>
    <t>Сталь арматурная рифленая свариваемая, класс A500С, диаметр 25 мм</t>
  </si>
  <si>
    <t>08.4.03.03-0030</t>
  </si>
  <si>
    <t>Сталь арматурная, горячекатаная, периодического профиля, класс А-III, диаметр 8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</si>
  <si>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</si>
  <si>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</si>
  <si>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</si>
  <si>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</si>
  <si>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11.1.03.06-0002</t>
  </si>
  <si>
    <t>Доска обрезная дубовая, длина 2-4 м, ширина 100-300 мм, толщина 30 мм, сорт 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</si>
  <si>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</si>
  <si>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</si>
  <si>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11.1.03.06-0075</t>
  </si>
  <si>
    <t>Доска обрезная, хвойных пород, длина 2-3,75 м, ширина 75-150 мм, толщина 32-40 мм, сорт III</t>
  </si>
  <si>
    <t>11.1.03.06-0095</t>
  </si>
  <si>
    <t>Доска обрезная, хвойных пород, ширина 75-150 мм, толщина 44 мм и более, длина 4-6,5 м, сорт III</t>
  </si>
  <si>
    <t>11.2.13.04-0011</t>
  </si>
  <si>
    <t>Щиты из досок, толщина 25 мм</t>
  </si>
  <si>
    <t>12.1.02.03-0000-0008</t>
  </si>
  <si>
    <t>Техноэласт Барьер, прим.</t>
  </si>
  <si>
    <t>12.1.02.06-0012</t>
  </si>
  <si>
    <t>Рубероид кровельный РКК-350</t>
  </si>
  <si>
    <t>12.2.03.02-0002</t>
  </si>
  <si>
    <t>Вата минеральная</t>
  </si>
  <si>
    <t>12.2.05.01-0000-0003</t>
  </si>
  <si>
    <t>Утеплитель "ПЕНОПЛЭКС Гео" плиты толщ. 100 мм</t>
  </si>
  <si>
    <t>12.2.05.10-0000-0003</t>
  </si>
  <si>
    <t>Плиты минераловатные "Фасад Баттс" ROCKWOOL, толщиной 80 мм (или эквивалент), прим.</t>
  </si>
  <si>
    <t>14.1.04.02-0011</t>
  </si>
  <si>
    <t>Клей, марка 88-Н</t>
  </si>
  <si>
    <t>14.1.06.01-0000-0002</t>
  </si>
  <si>
    <t>Плиточный тиксотропный клей на цементой основе для проклеивания керамической и керамо-гранитной плитки PCI Nanolight серый</t>
  </si>
  <si>
    <t>14.2.02.11-0000-0022</t>
  </si>
  <si>
    <t>Эпоксидная двухкомпонентная краска, прим. (расход 0,6 кг на м2)</t>
  </si>
  <si>
    <t>14.2.03.05-0000-0002</t>
  </si>
  <si>
    <t>Осмотический цементный состав для гидроизоляции бетонных конструкций Planiseal 88 (производства  Mapei). расход 1,6кг/м2 при толщине слоя 1,0 мм.</t>
  </si>
  <si>
    <t>14.3.01.02-0000-0002</t>
  </si>
  <si>
    <t>Грунтовка ВАК-01-Ф</t>
  </si>
  <si>
    <t>14.4.01.01-0003</t>
  </si>
  <si>
    <t>Грунтовка ГФ-021</t>
  </si>
  <si>
    <t>14.4.01.09-0000-0004</t>
  </si>
  <si>
    <t>Трехкомпонентный эпоксидный грунт, прим., расход 0,5кг на м2</t>
  </si>
  <si>
    <t>14.4.01.09-0000-0011</t>
  </si>
  <si>
    <t xml:space="preserve">Грунтовка эпоксидная СпецПротект 008 (серая) </t>
  </si>
  <si>
    <t>14.4.01.17-0000-0005</t>
  </si>
  <si>
    <t>Грунтовка полиуретановая СпецПротект 006 (прим.)</t>
  </si>
  <si>
    <t>14.4.02.04-0142</t>
  </si>
  <si>
    <t>Краска масляная МА-0115, мумия, сурик железный</t>
  </si>
  <si>
    <t>14.4.04.10-0000-0157</t>
  </si>
  <si>
    <t xml:space="preserve">Эмаль полиуретановая СпецПротект 109 (серый RAL 0009000) </t>
  </si>
  <si>
    <t>14.5.04.03-0002</t>
  </si>
  <si>
    <t>Мастика герметизирующая нетвердеющая из синтетического каучука для заполнения и герметизации швов стеклянного ограждения теплиц</t>
  </si>
  <si>
    <t>14.5.04.08-0000-0003</t>
  </si>
  <si>
    <t>Мастика гидроизоляционная (МГТН)</t>
  </si>
  <si>
    <t>14.5.09.01-0001</t>
  </si>
  <si>
    <t>Ацетон технический, сорт I</t>
  </si>
  <si>
    <t>14.5.09.07-0022</t>
  </si>
  <si>
    <t>Растворитель № 646</t>
  </si>
  <si>
    <t>14.5.09.07-0030</t>
  </si>
  <si>
    <t>Растворитель Р-4</t>
  </si>
  <si>
    <t>14.5.09.07-0033</t>
  </si>
  <si>
    <t>Растворитель марки: Р-5А</t>
  </si>
  <si>
    <t>14.5.09.11-0102</t>
  </si>
  <si>
    <t>Уайт-спирит</t>
  </si>
  <si>
    <t>204-9180-000002</t>
  </si>
  <si>
    <t>23.3.03.02-0000-0839</t>
  </si>
  <si>
    <t>Трубы 57х3,5 ГОСТ 8731-74В, 8732-78 09Г2С</t>
  </si>
  <si>
    <t>ЕС МТР 1231608.113, КСР</t>
  </si>
  <si>
    <t xml:space="preserve">Покрытие СпецИзол Стандарт
</t>
  </si>
  <si>
    <t>С245 (07.2.07.12-0001)</t>
  </si>
  <si>
    <t>Доплата на марку стали С245 (7,67% от базовой цены)</t>
  </si>
  <si>
    <t>С245 (08.4.01.02-0000-0003)</t>
  </si>
  <si>
    <t>С345 (204-9180-000002)</t>
  </si>
  <si>
    <t>Доплата на марку стали С345, 09Г2С  (14,11% от базовой цены)</t>
  </si>
  <si>
    <t>Сводная таблица расчетов стоимости ОПИ, п.1</t>
  </si>
  <si>
    <t>Песок природный для строительных работ средний (Отпускная стоимость)</t>
  </si>
  <si>
    <t>Сводная таблица расчетов стоимости ОПИ, п.2</t>
  </si>
  <si>
    <t>Щебень из природного камня для строительных работ фракции 20-40 мм</t>
  </si>
  <si>
    <t>Сводная таблица расчетов стоимости ОПИ, п.6</t>
  </si>
  <si>
    <t>Щебень из плотных горных пород для строительных работ, марка 800, фракция 20-40 мм (сметная стоимость)</t>
  </si>
  <si>
    <t>Итого "Материалы"</t>
  </si>
  <si>
    <t xml:space="preserve">          Перевозка</t>
  </si>
  <si>
    <t>Сводная таблица расчетов стоимости вывоза и утилизации ТБО и др., п. 2</t>
  </si>
  <si>
    <t>Вывоз лишнего грунта  (вывоз а/самосвалом г/п до 15 т) на 30 км</t>
  </si>
  <si>
    <t>1 т</t>
  </si>
  <si>
    <t>Сводная таблица расчетов стоимости вывоза и утилизации ТБО и др., п.1</t>
  </si>
  <si>
    <t>Перевозка строительных отходов 4-5 класса опасности (вывоз а/самосвалом г/п до 15 т) до 30,0 км</t>
  </si>
  <si>
    <t>Сводная таблица расчетов стоимости ОПИ, п. 1</t>
  </si>
  <si>
    <t>Перевозка песка. Автомобиль-самосвал, г/п до 15 т, расстояние перевозки: 30, к-т загрузки а/м: 1</t>
  </si>
  <si>
    <t>Сводная таблица расчетов стоимости ОПИ, п. 2</t>
  </si>
  <si>
    <t>Перевозка щебня. Автомобиль-самосвал, г/п до 15 т, расстояние перевозки: 30, к-т загрузки а/м: 1</t>
  </si>
  <si>
    <t xml:space="preserve">          Погрузка/разгрузка</t>
  </si>
  <si>
    <t>5-1-1-41</t>
  </si>
  <si>
    <t>Погрузка: Прочие материалы, детали и конструкции</t>
  </si>
  <si>
    <t>Итого прямые затраты по смете в текущих ценах</t>
  </si>
  <si>
    <t>Накладные расходы</t>
  </si>
  <si>
    <t>Сметная прибыль</t>
  </si>
  <si>
    <t>ВСЕГО по смете</t>
  </si>
  <si>
    <t>Составил:</t>
  </si>
  <si>
    <t xml:space="preserve"> Е.Н. Мочалкина</t>
  </si>
  <si>
    <t>[подпись (инициалы, фамилия)]</t>
  </si>
  <si>
    <t>Проверил:</t>
  </si>
  <si>
    <t xml:space="preserve"> О.В. Бабаева</t>
  </si>
  <si>
    <t>№ 03:88120/02-01-102-19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</si>
</sst>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"/>
    <numFmt numFmtId="166" formatCode="0.000"/>
    <numFmt numFmtId="167" formatCode="0.00000"/>
    <numFmt numFmtId="168" formatCode="0.000000"/>
  </numFmts>
  <fonts count="1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10"/>
      <name val="Arial"/>
      <charset val="204"/>
    </font>
    <font>
      <b/>
      <sz val="10"/>
      <name val="Arial"/>
      <charset val="204"/>
    </font>
    <font>
      <i/>
      <sz val="9"/>
      <name val="Arial"/>
      <charset val="204"/>
    </font>
    <font>
      <b/>
      <sz val="14"/>
      <name val="Arial"/>
      <charset val="204"/>
    </font>
    <font>
      <b/>
      <sz val="12"/>
      <name val="Arial"/>
      <charset val="204"/>
    </font>
    <font>
      <sz val="12"/>
      <name val="Arial"/>
      <charset val="204"/>
    </font>
    <font>
      <sz val="11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b/>
      <sz val="9"/>
      <color rgb="FF000000"/>
      <name val="Arial"/>
      <charset val="204"/>
    </font>
    <font>
      <sz val="8"/>
      <name val="Arial"/>
      <charset val="204"/>
    </font>
    <font>
      <sz val="8"/>
      <color rgb="FFFFFFFF"/>
      <name val="Arial"/>
      <charset val="204"/>
    </font>
    <font>
      <i/>
      <sz val="8"/>
      <name val="Arial"/>
      <charset val="204"/>
    </font>
    <font>
      <i/>
      <sz val="8"/>
      <color rgb="FFFFFFFF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center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NumberFormat="1" applyFont="1" applyFill="1" applyBorder="1" applyAlignment="1" applyProtection="1">
      <alignment wrapText="1"/>
    </xf>
    <xf numFmtId="0" fontId="12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2" xfId="0" applyNumberFormat="1" applyFont="1" applyFill="1" applyBorder="1" applyAlignment="1" applyProtection="1">
      <alignment horizontal="right" vertical="top" wrapText="1"/>
    </xf>
    <xf numFmtId="4" fontId="1" fillId="0" borderId="2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164" fontId="1" fillId="0" borderId="2" xfId="0" applyNumberFormat="1" applyFont="1" applyFill="1" applyBorder="1" applyAlignment="1" applyProtection="1">
      <alignment horizontal="center" vertical="top" wrapText="1"/>
    </xf>
    <xf numFmtId="165" fontId="1" fillId="0" borderId="2" xfId="0" applyNumberFormat="1" applyFont="1" applyFill="1" applyBorder="1" applyAlignment="1" applyProtection="1">
      <alignment horizontal="center" vertical="top" wrapText="1"/>
    </xf>
    <xf numFmtId="166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2" xfId="0" applyNumberFormat="1" applyFont="1" applyFill="1" applyBorder="1" applyAlignment="1" applyProtection="1">
      <alignment horizontal="left" vertical="top" wrapText="1"/>
    </xf>
    <xf numFmtId="0" fontId="1" fillId="0" borderId="2" xfId="0" applyNumberFormat="1" applyFont="1" applyFill="1" applyBorder="1" applyAlignment="1" applyProtection="1">
      <alignment horizontal="right" vertical="top" wrapText="1"/>
    </xf>
    <xf numFmtId="0" fontId="12" fillId="0" borderId="2" xfId="0" applyNumberFormat="1" applyFont="1" applyFill="1" applyBorder="1" applyAlignment="1" applyProtection="1">
      <alignment vertical="top" wrapText="1"/>
    </xf>
    <xf numFmtId="4" fontId="12" fillId="0" borderId="2" xfId="0" applyNumberFormat="1" applyFont="1" applyFill="1" applyBorder="1" applyAlignment="1" applyProtection="1">
      <alignment horizontal="right" vertical="top" wrapText="1"/>
    </xf>
    <xf numFmtId="167" fontId="1" fillId="0" borderId="2" xfId="0" applyNumberFormat="1" applyFont="1" applyFill="1" applyBorder="1" applyAlignment="1" applyProtection="1">
      <alignment horizontal="center" vertical="top" wrapText="1"/>
    </xf>
    <xf numFmtId="168" fontId="1" fillId="0" borderId="2" xfId="0" applyNumberFormat="1" applyFont="1" applyFill="1" applyBorder="1" applyAlignment="1" applyProtection="1">
      <alignment horizontal="center" vertical="top" wrapText="1"/>
    </xf>
    <xf numFmtId="0" fontId="12" fillId="0" borderId="0" xfId="0" applyNumberFormat="1" applyFont="1" applyFill="1" applyBorder="1" applyAlignment="1" applyProtection="1">
      <alignment vertical="top" wrapText="1"/>
    </xf>
    <xf numFmtId="0" fontId="12" fillId="0" borderId="0" xfId="0" applyNumberFormat="1" applyFont="1" applyFill="1" applyBorder="1" applyAlignment="1" applyProtection="1">
      <alignment horizontal="right" vertical="top" wrapText="1"/>
    </xf>
    <xf numFmtId="0" fontId="12" fillId="0" borderId="0" xfId="0" applyNumberFormat="1" applyFont="1" applyFill="1" applyBorder="1" applyAlignment="1" applyProtection="1">
      <alignment wrapText="1"/>
    </xf>
    <xf numFmtId="0" fontId="14" fillId="0" borderId="0" xfId="0" applyNumberFormat="1" applyFont="1" applyFill="1" applyBorder="1" applyAlignment="1" applyProtection="1">
      <alignment horizontal="right" vertical="top"/>
    </xf>
    <xf numFmtId="0" fontId="14" fillId="0" borderId="0" xfId="0" applyNumberFormat="1" applyFont="1" applyFill="1" applyBorder="1" applyAlignment="1" applyProtection="1">
      <alignment horizontal="left" vertical="top"/>
    </xf>
    <xf numFmtId="0" fontId="14" fillId="0" borderId="0" xfId="0" applyNumberFormat="1" applyFont="1" applyFill="1" applyBorder="1" applyAlignment="1" applyProtection="1">
      <alignment vertical="top"/>
    </xf>
    <xf numFmtId="0" fontId="15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right"/>
    </xf>
    <xf numFmtId="0" fontId="16" fillId="0" borderId="0" xfId="0" applyNumberFormat="1" applyFont="1" applyFill="1" applyBorder="1" applyAlignment="1" applyProtection="1">
      <alignment horizontal="left" vertical="center"/>
    </xf>
    <xf numFmtId="0" fontId="16" fillId="0" borderId="0" xfId="0" applyNumberFormat="1" applyFont="1" applyFill="1" applyBorder="1" applyAlignment="1" applyProtection="1">
      <alignment horizontal="center" vertical="center"/>
    </xf>
    <xf numFmtId="0" fontId="16" fillId="0" borderId="0" xfId="0" applyNumberFormat="1" applyFont="1" applyFill="1" applyBorder="1" applyAlignment="1" applyProtection="1">
      <alignment vertical="center"/>
    </xf>
    <xf numFmtId="0" fontId="17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9" fillId="0" borderId="0" xfId="0" applyNumberFormat="1" applyFont="1" applyFill="1" applyBorder="1" applyAlignment="1" applyProtection="1">
      <alignment horizontal="right"/>
    </xf>
    <xf numFmtId="0" fontId="2" fillId="0" borderId="1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vertical="top" wrapText="1"/>
    </xf>
    <xf numFmtId="2" fontId="10" fillId="0" borderId="0" xfId="0" applyNumberFormat="1" applyFont="1" applyFill="1" applyBorder="1" applyAlignment="1" applyProtection="1">
      <alignment horizontal="right"/>
    </xf>
    <xf numFmtId="2" fontId="10" fillId="0" borderId="0" xfId="0" applyNumberFormat="1" applyFont="1" applyFill="1" applyBorder="1" applyAlignment="1" applyProtection="1">
      <alignment horizontal="right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49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3" fillId="0" borderId="2" xfId="0" applyNumberFormat="1" applyFont="1" applyFill="1" applyBorder="1" applyAlignment="1" applyProtection="1">
      <alignment horizontal="left" vertical="top" wrapText="1"/>
    </xf>
    <xf numFmtId="0" fontId="12" fillId="0" borderId="3" xfId="0" applyNumberFormat="1" applyFont="1" applyFill="1" applyBorder="1" applyAlignment="1" applyProtection="1">
      <alignment vertical="top" wrapText="1"/>
    </xf>
    <xf numFmtId="0" fontId="12" fillId="0" borderId="5" xfId="0" applyNumberFormat="1" applyFont="1" applyFill="1" applyBorder="1" applyAlignment="1" applyProtection="1">
      <alignment vertical="top" wrapText="1"/>
    </xf>
    <xf numFmtId="0" fontId="12" fillId="0" borderId="4" xfId="0" applyNumberFormat="1" applyFont="1" applyFill="1" applyBorder="1" applyAlignment="1" applyProtection="1">
      <alignment vertical="top" wrapText="1"/>
    </xf>
    <xf numFmtId="0" fontId="16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F221"/>
  <sheetViews>
    <sheetView tabSelected="1" topLeftCell="A191" workbookViewId="0">
      <selection activeCell="C17" sqref="C17"/>
    </sheetView>
  </sheetViews>
  <sheetFormatPr defaultColWidth="9.140625" defaultRowHeight="11.25" customHeight="1" x14ac:dyDescent="0.2"/>
  <cols>
    <col min="1" max="1" width="11" style="1" customWidth="1"/>
    <col min="2" max="2" width="17.5703125" style="1" customWidth="1"/>
    <col min="3" max="3" width="43.42578125" style="1" customWidth="1"/>
    <col min="4" max="4" width="9.7109375" style="1" customWidth="1"/>
    <col min="5" max="5" width="8.28515625" style="1" customWidth="1"/>
    <col min="6" max="7" width="16.42578125" style="1" customWidth="1"/>
    <col min="8" max="9" width="14.7109375" style="1" hidden="1" customWidth="1"/>
    <col min="10" max="10" width="9" style="1" hidden="1" customWidth="1"/>
    <col min="11" max="11" width="14.42578125" style="1" hidden="1" customWidth="1"/>
    <col min="12" max="94" width="0" style="1" hidden="1" customWidth="1"/>
    <col min="95" max="102" width="9.140625" style="1"/>
    <col min="103" max="103" width="61.42578125" style="2" hidden="1" customWidth="1"/>
    <col min="104" max="105" width="94.28515625" style="2" hidden="1" customWidth="1"/>
    <col min="106" max="107" width="53.140625" style="2" hidden="1" customWidth="1"/>
    <col min="108" max="109" width="122.85546875" style="2" hidden="1" customWidth="1"/>
    <col min="110" max="110" width="106.42578125" style="2" hidden="1" customWidth="1"/>
    <col min="111" max="16384" width="9.140625" style="1"/>
  </cols>
  <sheetData>
    <row r="1" spans="1:107" customFormat="1" ht="64.5" x14ac:dyDescent="0.25">
      <c r="A1" s="54" t="s">
        <v>0</v>
      </c>
      <c r="B1" s="54"/>
      <c r="C1" s="55" t="s">
        <v>1</v>
      </c>
      <c r="D1" s="55"/>
      <c r="E1" s="55"/>
      <c r="F1" s="4"/>
      <c r="G1" s="1" t="s">
        <v>2</v>
      </c>
      <c r="H1" s="4"/>
      <c r="CY1" s="5" t="s">
        <v>1</v>
      </c>
    </row>
    <row r="2" spans="1:107" customFormat="1" ht="13.5" customHeight="1" x14ac:dyDescent="0.25">
      <c r="A2" s="6"/>
      <c r="D2" s="7"/>
      <c r="H2" s="8"/>
    </row>
    <row r="3" spans="1:107" customFormat="1" ht="13.5" customHeight="1" x14ac:dyDescent="0.25">
      <c r="A3" s="8"/>
      <c r="B3" s="4"/>
      <c r="C3" s="4"/>
      <c r="D3" s="4"/>
      <c r="E3" s="4"/>
      <c r="F3" s="6"/>
      <c r="G3" s="4"/>
      <c r="H3" s="8"/>
    </row>
    <row r="4" spans="1:107" customFormat="1" ht="18" x14ac:dyDescent="0.25">
      <c r="B4" s="8"/>
      <c r="C4" s="8" t="s">
        <v>3</v>
      </c>
      <c r="D4" s="9"/>
      <c r="E4" s="8"/>
      <c r="F4" s="10" t="s">
        <v>465</v>
      </c>
      <c r="G4" s="10"/>
      <c r="H4" s="8"/>
    </row>
    <row r="5" spans="1:107" customFormat="1" ht="13.5" customHeight="1" x14ac:dyDescent="0.25">
      <c r="B5" s="10"/>
      <c r="C5" s="11" t="s">
        <v>4</v>
      </c>
      <c r="D5" s="12"/>
      <c r="E5" s="10"/>
      <c r="F5" s="10"/>
      <c r="G5" s="10"/>
      <c r="H5" s="8"/>
    </row>
    <row r="6" spans="1:107" customFormat="1" ht="13.5" customHeight="1" x14ac:dyDescent="0.25">
      <c r="B6" s="10"/>
      <c r="C6" s="13"/>
      <c r="D6" s="12"/>
      <c r="E6" s="10"/>
      <c r="F6" s="10"/>
      <c r="G6" s="10"/>
      <c r="H6" s="8"/>
    </row>
    <row r="7" spans="1:107" customFormat="1" ht="26.25" x14ac:dyDescent="0.25">
      <c r="A7" s="56" t="s">
        <v>5</v>
      </c>
      <c r="B7" s="56"/>
      <c r="C7" s="57" t="s">
        <v>6</v>
      </c>
      <c r="D7" s="57"/>
      <c r="E7" s="57"/>
      <c r="F7" s="57"/>
      <c r="G7" s="57"/>
      <c r="H7" s="8"/>
      <c r="CZ7" s="5" t="s">
        <v>6</v>
      </c>
    </row>
    <row r="8" spans="1:107" ht="18" x14ac:dyDescent="0.25">
      <c r="A8" s="56" t="s">
        <v>7</v>
      </c>
      <c r="B8" s="56"/>
      <c r="C8" s="57"/>
      <c r="D8" s="57"/>
      <c r="E8" s="57"/>
      <c r="F8" s="57"/>
      <c r="G8" s="57"/>
      <c r="H8" s="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DA8" s="5" t="s">
        <v>8</v>
      </c>
    </row>
    <row r="9" spans="1:107" customFormat="1" ht="13.5" customHeight="1" x14ac:dyDescent="0.25">
      <c r="A9" s="10"/>
      <c r="B9" s="10"/>
      <c r="C9" s="10"/>
      <c r="D9" s="7" t="s">
        <v>9</v>
      </c>
      <c r="E9" s="10"/>
      <c r="F9" s="10"/>
      <c r="G9" s="10"/>
      <c r="H9" s="8"/>
    </row>
    <row r="10" spans="1:107" ht="13.5" customHeight="1" x14ac:dyDescent="0.25">
      <c r="A10" s="10"/>
      <c r="B10" s="10"/>
      <c r="C10" s="10"/>
      <c r="D10" s="7"/>
      <c r="E10" s="10"/>
      <c r="F10" s="10"/>
      <c r="G10" s="10"/>
      <c r="H10" s="8"/>
    </row>
    <row r="11" spans="1:107" ht="18" x14ac:dyDescent="0.25">
      <c r="A11" s="10"/>
      <c r="B11" s="6" t="s">
        <v>10</v>
      </c>
      <c r="C11" s="58"/>
      <c r="D11" s="58"/>
      <c r="E11" s="10"/>
      <c r="F11" s="10"/>
      <c r="G11" s="10"/>
      <c r="H11" s="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DB11" s="5" t="s">
        <v>8</v>
      </c>
    </row>
    <row r="12" spans="1:107" customFormat="1" ht="18" x14ac:dyDescent="0.25">
      <c r="B12" s="6" t="s">
        <v>11</v>
      </c>
      <c r="C12" s="58" t="s">
        <v>12</v>
      </c>
      <c r="D12" s="58"/>
      <c r="E12" s="10"/>
      <c r="F12" s="10"/>
      <c r="G12" s="10"/>
      <c r="H12" s="8"/>
      <c r="DC12" s="5" t="s">
        <v>12</v>
      </c>
    </row>
    <row r="13" spans="1:107" customFormat="1" ht="7.5" customHeight="1" x14ac:dyDescent="0.25">
      <c r="B13" s="6"/>
      <c r="C13" s="6"/>
      <c r="D13" s="6"/>
      <c r="E13" s="10"/>
      <c r="F13" s="10"/>
      <c r="G13" s="10"/>
      <c r="H13" s="8"/>
    </row>
    <row r="14" spans="1:107" customFormat="1" ht="13.5" customHeight="1" x14ac:dyDescent="0.25">
      <c r="B14" s="6"/>
      <c r="C14" s="6"/>
      <c r="D14" s="6"/>
      <c r="E14" s="14" t="s">
        <v>13</v>
      </c>
      <c r="F14" s="59">
        <v>23335.01139</v>
      </c>
      <c r="G14" s="59"/>
      <c r="H14" s="8"/>
    </row>
    <row r="15" spans="1:107" customFormat="1" ht="13.5" customHeight="1" x14ac:dyDescent="0.25">
      <c r="B15" s="6"/>
      <c r="C15" s="6"/>
      <c r="D15" s="6"/>
      <c r="E15" s="14" t="s">
        <v>14</v>
      </c>
      <c r="F15" s="59">
        <v>6366.35</v>
      </c>
      <c r="G15" s="59"/>
      <c r="H15" s="8"/>
    </row>
    <row r="16" spans="1:107" customFormat="1" ht="13.5" customHeight="1" x14ac:dyDescent="0.25">
      <c r="A16" s="8"/>
      <c r="D16" s="8"/>
      <c r="E16" s="14" t="s">
        <v>15</v>
      </c>
      <c r="F16" s="59">
        <v>673.85</v>
      </c>
      <c r="G16" s="59"/>
      <c r="H16" s="15"/>
      <c r="I16" s="16"/>
      <c r="J16" s="16"/>
      <c r="K16" s="16"/>
    </row>
    <row r="17" spans="1:109" customFormat="1" ht="13.5" customHeight="1" x14ac:dyDescent="0.25">
      <c r="A17" s="8"/>
      <c r="D17" s="3"/>
      <c r="E17" s="14" t="s">
        <v>16</v>
      </c>
      <c r="F17" s="60">
        <v>2570.7800000000002</v>
      </c>
      <c r="G17" s="59"/>
    </row>
    <row r="18" spans="1:109" customFormat="1" ht="13.5" customHeight="1" x14ac:dyDescent="0.25">
      <c r="D18" s="3"/>
      <c r="E18" s="14" t="s">
        <v>17</v>
      </c>
      <c r="F18" s="59">
        <v>353.92624999999998</v>
      </c>
      <c r="G18" s="59"/>
      <c r="H18" s="17"/>
      <c r="I18" s="17"/>
    </row>
    <row r="19" spans="1:109" customFormat="1" ht="15" x14ac:dyDescent="0.25">
      <c r="B19" s="6"/>
      <c r="C19" s="3"/>
      <c r="D19" s="3"/>
      <c r="E19" s="3"/>
      <c r="F19" s="3"/>
      <c r="G19" s="3"/>
      <c r="H19" s="3"/>
    </row>
    <row r="20" spans="1:109" customFormat="1" ht="28.5" customHeight="1" x14ac:dyDescent="0.25">
      <c r="A20" s="61" t="s">
        <v>18</v>
      </c>
      <c r="B20" s="62" t="s">
        <v>19</v>
      </c>
      <c r="C20" s="61" t="s">
        <v>20</v>
      </c>
      <c r="D20" s="61" t="s">
        <v>21</v>
      </c>
      <c r="E20" s="61" t="s">
        <v>22</v>
      </c>
      <c r="F20" s="63" t="s">
        <v>23</v>
      </c>
      <c r="G20" s="64"/>
    </row>
    <row r="21" spans="1:109" customFormat="1" ht="18" customHeight="1" x14ac:dyDescent="0.25">
      <c r="A21" s="61"/>
      <c r="B21" s="62"/>
      <c r="C21" s="61"/>
      <c r="D21" s="61"/>
      <c r="E21" s="61"/>
      <c r="F21" s="18" t="s">
        <v>24</v>
      </c>
      <c r="G21" s="18" t="s">
        <v>25</v>
      </c>
      <c r="H21" s="19"/>
    </row>
    <row r="22" spans="1:109" customFormat="1" ht="12" customHeight="1" x14ac:dyDescent="0.25">
      <c r="A22" s="20">
        <v>1</v>
      </c>
      <c r="B22" s="20" t="s">
        <v>26</v>
      </c>
      <c r="C22" s="20">
        <v>3</v>
      </c>
      <c r="D22" s="20">
        <v>4</v>
      </c>
      <c r="E22" s="20">
        <v>5</v>
      </c>
      <c r="F22" s="20">
        <v>6</v>
      </c>
      <c r="G22" s="20">
        <v>7</v>
      </c>
      <c r="H22" s="19"/>
    </row>
    <row r="23" spans="1:109" customFormat="1" ht="15" x14ac:dyDescent="0.25">
      <c r="A23" s="65" t="s">
        <v>27</v>
      </c>
      <c r="B23" s="65"/>
      <c r="C23" s="65"/>
      <c r="D23" s="65"/>
      <c r="E23" s="65"/>
      <c r="F23" s="65"/>
      <c r="G23" s="65"/>
      <c r="H23" s="21"/>
      <c r="DD23" s="22" t="s">
        <v>27</v>
      </c>
    </row>
    <row r="24" spans="1:109" customFormat="1" ht="15" x14ac:dyDescent="0.25">
      <c r="A24" s="65" t="s">
        <v>28</v>
      </c>
      <c r="B24" s="65"/>
      <c r="C24" s="65"/>
      <c r="D24" s="65"/>
      <c r="E24" s="65"/>
      <c r="F24" s="65"/>
      <c r="G24" s="65"/>
      <c r="H24" s="21"/>
      <c r="DD24" s="22"/>
      <c r="DE24" s="22" t="s">
        <v>28</v>
      </c>
    </row>
    <row r="25" spans="1:109" customFormat="1" ht="15" x14ac:dyDescent="0.25">
      <c r="A25" s="23">
        <f>IF(J25&lt;&gt;"",COUNTA(J$1:J25),"")</f>
        <v>1</v>
      </c>
      <c r="B25" s="24" t="s">
        <v>29</v>
      </c>
      <c r="C25" s="25" t="s">
        <v>30</v>
      </c>
      <c r="D25" s="26" t="s">
        <v>31</v>
      </c>
      <c r="E25" s="27">
        <v>37.17</v>
      </c>
      <c r="F25" s="28">
        <v>333.66</v>
      </c>
      <c r="G25" s="29">
        <v>12402.14</v>
      </c>
      <c r="H25" s="30"/>
      <c r="J25" s="1" t="s">
        <v>32</v>
      </c>
      <c r="DD25" s="22"/>
      <c r="DE25" s="22"/>
    </row>
    <row r="26" spans="1:109" customFormat="1" ht="15" x14ac:dyDescent="0.25">
      <c r="A26" s="23">
        <f>IF(J26&lt;&gt;"",COUNTA(J$1:J26),"")</f>
        <v>2</v>
      </c>
      <c r="B26" s="24" t="s">
        <v>33</v>
      </c>
      <c r="C26" s="25" t="s">
        <v>34</v>
      </c>
      <c r="D26" s="26" t="s">
        <v>31</v>
      </c>
      <c r="E26" s="31">
        <v>2.0535999999999999</v>
      </c>
      <c r="F26" s="28">
        <v>341.22</v>
      </c>
      <c r="G26" s="28">
        <v>700.73</v>
      </c>
      <c r="H26" s="30"/>
      <c r="J26" s="1" t="s">
        <v>32</v>
      </c>
      <c r="DD26" s="22"/>
      <c r="DE26" s="22"/>
    </row>
    <row r="27" spans="1:109" customFormat="1" ht="15" x14ac:dyDescent="0.25">
      <c r="A27" s="23">
        <f>IF(J27&lt;&gt;"",COUNTA(J$1:J27),"")</f>
        <v>3</v>
      </c>
      <c r="B27" s="24" t="s">
        <v>35</v>
      </c>
      <c r="C27" s="25" t="s">
        <v>36</v>
      </c>
      <c r="D27" s="26" t="s">
        <v>31</v>
      </c>
      <c r="E27" s="32">
        <v>5.6</v>
      </c>
      <c r="F27" s="28">
        <v>345</v>
      </c>
      <c r="G27" s="29">
        <v>1932</v>
      </c>
      <c r="H27" s="30"/>
      <c r="J27" s="1" t="s">
        <v>32</v>
      </c>
      <c r="DD27" s="22"/>
      <c r="DE27" s="22"/>
    </row>
    <row r="28" spans="1:109" customFormat="1" ht="15" x14ac:dyDescent="0.25">
      <c r="A28" s="23">
        <f>IF(J28&lt;&gt;"",COUNTA(J$1:J28),"")</f>
        <v>4</v>
      </c>
      <c r="B28" s="24" t="s">
        <v>37</v>
      </c>
      <c r="C28" s="25" t="s">
        <v>38</v>
      </c>
      <c r="D28" s="26" t="s">
        <v>31</v>
      </c>
      <c r="E28" s="31">
        <v>114.6472</v>
      </c>
      <c r="F28" s="28">
        <v>352.53</v>
      </c>
      <c r="G28" s="29">
        <v>40416.58</v>
      </c>
      <c r="H28" s="30"/>
      <c r="J28" s="1" t="s">
        <v>32</v>
      </c>
      <c r="DD28" s="22"/>
      <c r="DE28" s="22"/>
    </row>
    <row r="29" spans="1:109" customFormat="1" ht="15" x14ac:dyDescent="0.25">
      <c r="A29" s="23">
        <f>IF(J29&lt;&gt;"",COUNTA(J$1:J29),"")</f>
        <v>5</v>
      </c>
      <c r="B29" s="24" t="s">
        <v>39</v>
      </c>
      <c r="C29" s="25" t="s">
        <v>40</v>
      </c>
      <c r="D29" s="26" t="s">
        <v>31</v>
      </c>
      <c r="E29" s="31">
        <v>88.215400000000002</v>
      </c>
      <c r="F29" s="28">
        <v>360.99</v>
      </c>
      <c r="G29" s="29">
        <v>31844.880000000001</v>
      </c>
      <c r="H29" s="30"/>
      <c r="J29" s="1" t="s">
        <v>32</v>
      </c>
      <c r="DD29" s="22"/>
      <c r="DE29" s="22"/>
    </row>
    <row r="30" spans="1:109" customFormat="1" ht="15" x14ac:dyDescent="0.25">
      <c r="A30" s="23">
        <f>IF(J30&lt;&gt;"",COUNTA(J$1:J30),"")</f>
        <v>6</v>
      </c>
      <c r="B30" s="24" t="s">
        <v>41</v>
      </c>
      <c r="C30" s="25" t="s">
        <v>42</v>
      </c>
      <c r="D30" s="26" t="s">
        <v>31</v>
      </c>
      <c r="E30" s="33">
        <v>44.136000000000003</v>
      </c>
      <c r="F30" s="28">
        <v>365.22</v>
      </c>
      <c r="G30" s="29">
        <v>16119.35</v>
      </c>
      <c r="H30" s="30"/>
      <c r="J30" s="1" t="s">
        <v>32</v>
      </c>
      <c r="DD30" s="22"/>
      <c r="DE30" s="22"/>
    </row>
    <row r="31" spans="1:109" customFormat="1" ht="15" x14ac:dyDescent="0.25">
      <c r="A31" s="23">
        <f>IF(J31&lt;&gt;"",COUNTA(J$1:J31),"")</f>
        <v>7</v>
      </c>
      <c r="B31" s="24" t="s">
        <v>43</v>
      </c>
      <c r="C31" s="25" t="s">
        <v>44</v>
      </c>
      <c r="D31" s="26" t="s">
        <v>31</v>
      </c>
      <c r="E31" s="27">
        <v>286.25</v>
      </c>
      <c r="F31" s="28">
        <v>373.68</v>
      </c>
      <c r="G31" s="29">
        <v>106965.9</v>
      </c>
      <c r="H31" s="30"/>
      <c r="J31" s="1" t="s">
        <v>32</v>
      </c>
      <c r="DD31" s="22"/>
      <c r="DE31" s="22"/>
    </row>
    <row r="32" spans="1:109" customFormat="1" ht="15" x14ac:dyDescent="0.25">
      <c r="A32" s="23">
        <f>IF(J32&lt;&gt;"",COUNTA(J$1:J32),"")</f>
        <v>8</v>
      </c>
      <c r="B32" s="24" t="s">
        <v>45</v>
      </c>
      <c r="C32" s="25" t="s">
        <v>46</v>
      </c>
      <c r="D32" s="26" t="s">
        <v>31</v>
      </c>
      <c r="E32" s="33">
        <v>1494.0809999999999</v>
      </c>
      <c r="F32" s="28">
        <v>386.37</v>
      </c>
      <c r="G32" s="29">
        <v>577268.07999999996</v>
      </c>
      <c r="H32" s="30"/>
      <c r="J32" s="1" t="s">
        <v>32</v>
      </c>
      <c r="DD32" s="22"/>
      <c r="DE32" s="22"/>
    </row>
    <row r="33" spans="1:109" customFormat="1" ht="15" x14ac:dyDescent="0.25">
      <c r="A33" s="23">
        <f>IF(J33&lt;&gt;"",COUNTA(J$1:J33),"")</f>
        <v>9</v>
      </c>
      <c r="B33" s="24" t="s">
        <v>47</v>
      </c>
      <c r="C33" s="25" t="s">
        <v>48</v>
      </c>
      <c r="D33" s="26" t="s">
        <v>31</v>
      </c>
      <c r="E33" s="31">
        <v>898.83929999999998</v>
      </c>
      <c r="F33" s="28">
        <v>394.84</v>
      </c>
      <c r="G33" s="29">
        <v>354897.73</v>
      </c>
      <c r="H33" s="30"/>
      <c r="J33" s="1" t="s">
        <v>32</v>
      </c>
      <c r="DD33" s="22"/>
      <c r="DE33" s="22"/>
    </row>
    <row r="34" spans="1:109" customFormat="1" ht="15" x14ac:dyDescent="0.25">
      <c r="A34" s="23">
        <f>IF(J34&lt;&gt;"",COUNTA(J$1:J34),"")</f>
        <v>10</v>
      </c>
      <c r="B34" s="24" t="s">
        <v>49</v>
      </c>
      <c r="C34" s="25" t="s">
        <v>50</v>
      </c>
      <c r="D34" s="26" t="s">
        <v>31</v>
      </c>
      <c r="E34" s="27">
        <v>862.62</v>
      </c>
      <c r="F34" s="28">
        <v>399.58</v>
      </c>
      <c r="G34" s="29">
        <v>344685.7</v>
      </c>
      <c r="H34" s="30"/>
      <c r="J34" s="1" t="s">
        <v>32</v>
      </c>
      <c r="DD34" s="22"/>
      <c r="DE34" s="22"/>
    </row>
    <row r="35" spans="1:109" customFormat="1" ht="15" x14ac:dyDescent="0.25">
      <c r="A35" s="23">
        <f>IF(J35&lt;&gt;"",COUNTA(J$1:J35),"")</f>
        <v>11</v>
      </c>
      <c r="B35" s="24" t="s">
        <v>51</v>
      </c>
      <c r="C35" s="25" t="s">
        <v>52</v>
      </c>
      <c r="D35" s="26" t="s">
        <v>31</v>
      </c>
      <c r="E35" s="33">
        <v>175.512</v>
      </c>
      <c r="F35" s="28">
        <v>404.32</v>
      </c>
      <c r="G35" s="29">
        <v>70963.009999999995</v>
      </c>
      <c r="H35" s="30"/>
      <c r="J35" s="1" t="s">
        <v>32</v>
      </c>
      <c r="DD35" s="22"/>
      <c r="DE35" s="22"/>
    </row>
    <row r="36" spans="1:109" customFormat="1" ht="15" x14ac:dyDescent="0.25">
      <c r="A36" s="23">
        <f>IF(J36&lt;&gt;"",COUNTA(J$1:J36),"")</f>
        <v>12</v>
      </c>
      <c r="B36" s="24" t="s">
        <v>53</v>
      </c>
      <c r="C36" s="25" t="s">
        <v>54</v>
      </c>
      <c r="D36" s="26" t="s">
        <v>31</v>
      </c>
      <c r="E36" s="31">
        <v>248.9332</v>
      </c>
      <c r="F36" s="28">
        <v>409.06</v>
      </c>
      <c r="G36" s="29">
        <v>101828.62</v>
      </c>
      <c r="H36" s="30"/>
      <c r="J36" s="1" t="s">
        <v>32</v>
      </c>
      <c r="DD36" s="22"/>
      <c r="DE36" s="22"/>
    </row>
    <row r="37" spans="1:109" customFormat="1" ht="15" x14ac:dyDescent="0.25">
      <c r="A37" s="23">
        <f>IF(J37&lt;&gt;"",COUNTA(J$1:J37),"")</f>
        <v>13</v>
      </c>
      <c r="B37" s="24" t="s">
        <v>55</v>
      </c>
      <c r="C37" s="25" t="s">
        <v>56</v>
      </c>
      <c r="D37" s="26" t="s">
        <v>31</v>
      </c>
      <c r="E37" s="31">
        <v>79.401799999999994</v>
      </c>
      <c r="F37" s="28">
        <v>413.8</v>
      </c>
      <c r="G37" s="29">
        <v>32856.47</v>
      </c>
      <c r="H37" s="30"/>
      <c r="J37" s="1" t="s">
        <v>32</v>
      </c>
      <c r="DD37" s="22"/>
      <c r="DE37" s="22"/>
    </row>
    <row r="38" spans="1:109" customFormat="1" ht="15" x14ac:dyDescent="0.25">
      <c r="A38" s="23">
        <f>IF(J38&lt;&gt;"",COUNTA(J$1:J38),"")</f>
        <v>14</v>
      </c>
      <c r="B38" s="24" t="s">
        <v>57</v>
      </c>
      <c r="C38" s="25" t="s">
        <v>58</v>
      </c>
      <c r="D38" s="26" t="s">
        <v>31</v>
      </c>
      <c r="E38" s="31">
        <v>180.1893</v>
      </c>
      <c r="F38" s="28">
        <v>418.54</v>
      </c>
      <c r="G38" s="29">
        <v>75416.44</v>
      </c>
      <c r="H38" s="30"/>
      <c r="J38" s="1" t="s">
        <v>32</v>
      </c>
      <c r="DD38" s="22"/>
      <c r="DE38" s="22"/>
    </row>
    <row r="39" spans="1:109" customFormat="1" ht="15" x14ac:dyDescent="0.25">
      <c r="A39" s="23">
        <f>IF(J39&lt;&gt;"",COUNTA(J$1:J39),"")</f>
        <v>15</v>
      </c>
      <c r="B39" s="24" t="s">
        <v>59</v>
      </c>
      <c r="C39" s="25" t="s">
        <v>60</v>
      </c>
      <c r="D39" s="26" t="s">
        <v>31</v>
      </c>
      <c r="E39" s="34">
        <v>115</v>
      </c>
      <c r="F39" s="28">
        <v>423.28</v>
      </c>
      <c r="G39" s="29">
        <v>48677.2</v>
      </c>
      <c r="H39" s="30"/>
      <c r="J39" s="1" t="s">
        <v>32</v>
      </c>
      <c r="DD39" s="22"/>
      <c r="DE39" s="22"/>
    </row>
    <row r="40" spans="1:109" customFormat="1" ht="15" x14ac:dyDescent="0.25">
      <c r="A40" s="23">
        <f>IF(J40&lt;&gt;"",COUNTA(J$1:J40),"")</f>
        <v>16</v>
      </c>
      <c r="B40" s="24" t="s">
        <v>61</v>
      </c>
      <c r="C40" s="25" t="s">
        <v>62</v>
      </c>
      <c r="D40" s="26" t="s">
        <v>31</v>
      </c>
      <c r="E40" s="27">
        <v>42.32</v>
      </c>
      <c r="F40" s="28">
        <v>428.02</v>
      </c>
      <c r="G40" s="29">
        <v>18113.810000000001</v>
      </c>
      <c r="H40" s="30"/>
      <c r="J40" s="1" t="s">
        <v>32</v>
      </c>
      <c r="DD40" s="22"/>
      <c r="DE40" s="22"/>
    </row>
    <row r="41" spans="1:109" customFormat="1" ht="15" x14ac:dyDescent="0.25">
      <c r="A41" s="23">
        <f>IF(J41&lt;&gt;"",COUNTA(J$1:J41),"")</f>
        <v>17</v>
      </c>
      <c r="B41" s="24" t="s">
        <v>63</v>
      </c>
      <c r="C41" s="25" t="s">
        <v>64</v>
      </c>
      <c r="D41" s="26" t="s">
        <v>31</v>
      </c>
      <c r="E41" s="27">
        <v>1089.06</v>
      </c>
      <c r="F41" s="28">
        <v>432.76</v>
      </c>
      <c r="G41" s="29">
        <v>471301.61</v>
      </c>
      <c r="H41" s="30"/>
      <c r="J41" s="1" t="s">
        <v>32</v>
      </c>
      <c r="DD41" s="22"/>
      <c r="DE41" s="22"/>
    </row>
    <row r="42" spans="1:109" customFormat="1" ht="15" x14ac:dyDescent="0.25">
      <c r="A42" s="23">
        <f>IF(J42&lt;&gt;"",COUNTA(J$1:J42),"")</f>
        <v>18</v>
      </c>
      <c r="B42" s="24" t="s">
        <v>65</v>
      </c>
      <c r="C42" s="25" t="s">
        <v>66</v>
      </c>
      <c r="D42" s="26" t="s">
        <v>31</v>
      </c>
      <c r="E42" s="31">
        <v>491.57920000000001</v>
      </c>
      <c r="F42" s="28">
        <v>437.5</v>
      </c>
      <c r="G42" s="29">
        <v>215065.9</v>
      </c>
      <c r="H42" s="30"/>
      <c r="J42" s="1" t="s">
        <v>32</v>
      </c>
      <c r="DD42" s="22"/>
      <c r="DE42" s="22"/>
    </row>
    <row r="43" spans="1:109" customFormat="1" ht="15" x14ac:dyDescent="0.25">
      <c r="A43" s="23">
        <f>IF(J43&lt;&gt;"",COUNTA(J$1:J43),"")</f>
        <v>19</v>
      </c>
      <c r="B43" s="24" t="s">
        <v>67</v>
      </c>
      <c r="C43" s="25" t="s">
        <v>68</v>
      </c>
      <c r="D43" s="26" t="s">
        <v>31</v>
      </c>
      <c r="E43" s="31">
        <v>43.307499999999997</v>
      </c>
      <c r="F43" s="28">
        <v>442.21</v>
      </c>
      <c r="G43" s="29">
        <v>19151.009999999998</v>
      </c>
      <c r="H43" s="30"/>
      <c r="J43" s="1" t="s">
        <v>32</v>
      </c>
      <c r="DD43" s="22"/>
      <c r="DE43" s="22"/>
    </row>
    <row r="44" spans="1:109" customFormat="1" ht="15" x14ac:dyDescent="0.25">
      <c r="A44" s="23">
        <f>IF(J44&lt;&gt;"",COUNTA(J$1:J44),"")</f>
        <v>20</v>
      </c>
      <c r="B44" s="24" t="s">
        <v>69</v>
      </c>
      <c r="C44" s="25" t="s">
        <v>70</v>
      </c>
      <c r="D44" s="26" t="s">
        <v>31</v>
      </c>
      <c r="E44" s="33">
        <v>1.913</v>
      </c>
      <c r="F44" s="28">
        <v>463.45</v>
      </c>
      <c r="G44" s="28">
        <v>886.58</v>
      </c>
      <c r="H44" s="30"/>
      <c r="J44" s="1" t="s">
        <v>32</v>
      </c>
      <c r="DD44" s="22"/>
      <c r="DE44" s="22"/>
    </row>
    <row r="45" spans="1:109" customFormat="1" ht="15" x14ac:dyDescent="0.25">
      <c r="A45" s="23">
        <f>IF(J45&lt;&gt;"",COUNTA(J$1:J45),"")</f>
        <v>21</v>
      </c>
      <c r="B45" s="24" t="s">
        <v>71</v>
      </c>
      <c r="C45" s="25" t="s">
        <v>72</v>
      </c>
      <c r="D45" s="26" t="s">
        <v>31</v>
      </c>
      <c r="E45" s="31">
        <v>10.1325</v>
      </c>
      <c r="F45" s="28">
        <v>490</v>
      </c>
      <c r="G45" s="29">
        <v>4964.93</v>
      </c>
      <c r="H45" s="30"/>
      <c r="J45" s="1" t="s">
        <v>32</v>
      </c>
      <c r="DD45" s="22"/>
      <c r="DE45" s="22"/>
    </row>
    <row r="46" spans="1:109" customFormat="1" ht="15" x14ac:dyDescent="0.25">
      <c r="A46" s="23">
        <f>IF(J46&lt;&gt;"",COUNTA(J$1:J46),"")</f>
        <v>22</v>
      </c>
      <c r="B46" s="24" t="s">
        <v>73</v>
      </c>
      <c r="C46" s="25" t="s">
        <v>74</v>
      </c>
      <c r="D46" s="26" t="s">
        <v>31</v>
      </c>
      <c r="E46" s="27">
        <v>23.49</v>
      </c>
      <c r="F46" s="28">
        <v>495.28</v>
      </c>
      <c r="G46" s="29">
        <v>11634.13</v>
      </c>
      <c r="H46" s="30"/>
      <c r="J46" s="1" t="s">
        <v>32</v>
      </c>
      <c r="DD46" s="22"/>
      <c r="DE46" s="22"/>
    </row>
    <row r="47" spans="1:109" customFormat="1" ht="15" x14ac:dyDescent="0.25">
      <c r="A47" s="23">
        <f>IF(J47&lt;&gt;"",COUNTA(J$1:J47),"")</f>
        <v>23</v>
      </c>
      <c r="B47" s="35">
        <v>2</v>
      </c>
      <c r="C47" s="25" t="s">
        <v>75</v>
      </c>
      <c r="D47" s="26" t="s">
        <v>31</v>
      </c>
      <c r="E47" s="31">
        <v>673.8501</v>
      </c>
      <c r="F47" s="36"/>
      <c r="G47" s="36"/>
      <c r="H47" s="30"/>
      <c r="J47" s="1" t="s">
        <v>32</v>
      </c>
      <c r="DD47" s="22"/>
      <c r="DE47" s="22"/>
    </row>
    <row r="48" spans="1:109" customFormat="1" ht="15" x14ac:dyDescent="0.25">
      <c r="A48" s="23">
        <f>IF(J48&lt;&gt;"",COUNTA(J$1:J48),"")</f>
        <v>24</v>
      </c>
      <c r="B48" s="24" t="s">
        <v>76</v>
      </c>
      <c r="C48" s="25" t="s">
        <v>77</v>
      </c>
      <c r="D48" s="26" t="s">
        <v>31</v>
      </c>
      <c r="E48" s="31">
        <v>1.2498</v>
      </c>
      <c r="F48" s="28">
        <v>314.76</v>
      </c>
      <c r="G48" s="28">
        <v>393.39</v>
      </c>
      <c r="H48" s="30"/>
      <c r="J48" s="1" t="s">
        <v>32</v>
      </c>
      <c r="DD48" s="22"/>
      <c r="DE48" s="22"/>
    </row>
    <row r="49" spans="1:109" customFormat="1" ht="15" x14ac:dyDescent="0.25">
      <c r="A49" s="23">
        <f>IF(J49&lt;&gt;"",COUNTA(J$1:J49),"")</f>
        <v>25</v>
      </c>
      <c r="B49" s="24" t="s">
        <v>78</v>
      </c>
      <c r="C49" s="25" t="s">
        <v>79</v>
      </c>
      <c r="D49" s="26" t="s">
        <v>31</v>
      </c>
      <c r="E49" s="31">
        <v>8.0378000000000007</v>
      </c>
      <c r="F49" s="28">
        <v>352.53</v>
      </c>
      <c r="G49" s="29">
        <v>2833.57</v>
      </c>
      <c r="H49" s="30"/>
      <c r="J49" s="1" t="s">
        <v>32</v>
      </c>
      <c r="DD49" s="22"/>
      <c r="DE49" s="22"/>
    </row>
    <row r="50" spans="1:109" customFormat="1" ht="15" x14ac:dyDescent="0.25">
      <c r="A50" s="23">
        <f>IF(J50&lt;&gt;"",COUNTA(J$1:J50),"")</f>
        <v>26</v>
      </c>
      <c r="B50" s="24" t="s">
        <v>80</v>
      </c>
      <c r="C50" s="25" t="s">
        <v>81</v>
      </c>
      <c r="D50" s="26" t="s">
        <v>31</v>
      </c>
      <c r="E50" s="31">
        <v>11.3078</v>
      </c>
      <c r="F50" s="28">
        <v>394.84</v>
      </c>
      <c r="G50" s="29">
        <v>4464.7700000000004</v>
      </c>
      <c r="H50" s="30"/>
      <c r="J50" s="1" t="s">
        <v>32</v>
      </c>
      <c r="DD50" s="22"/>
      <c r="DE50" s="22"/>
    </row>
    <row r="51" spans="1:109" customFormat="1" ht="15" x14ac:dyDescent="0.25">
      <c r="A51" s="23">
        <f>IF(J51&lt;&gt;"",COUNTA(J$1:J51),"")</f>
        <v>27</v>
      </c>
      <c r="B51" s="24" t="s">
        <v>82</v>
      </c>
      <c r="C51" s="25" t="s">
        <v>83</v>
      </c>
      <c r="D51" s="26" t="s">
        <v>31</v>
      </c>
      <c r="E51" s="31">
        <v>11.3078</v>
      </c>
      <c r="F51" s="28">
        <v>442.21</v>
      </c>
      <c r="G51" s="29">
        <v>5000.42</v>
      </c>
      <c r="H51" s="30"/>
      <c r="J51" s="1" t="s">
        <v>32</v>
      </c>
      <c r="DD51" s="22"/>
      <c r="DE51" s="22"/>
    </row>
    <row r="52" spans="1:109" customFormat="1" ht="15" x14ac:dyDescent="0.25">
      <c r="A52" s="26"/>
      <c r="B52" s="24"/>
      <c r="C52" s="37" t="s">
        <v>84</v>
      </c>
      <c r="D52" s="23" t="s">
        <v>85</v>
      </c>
      <c r="E52" s="23"/>
      <c r="F52" s="36"/>
      <c r="G52" s="38">
        <v>2570784.9500000002</v>
      </c>
      <c r="H52" s="30"/>
      <c r="DD52" s="22"/>
      <c r="DE52" s="22"/>
    </row>
    <row r="53" spans="1:109" customFormat="1" ht="15" x14ac:dyDescent="0.25">
      <c r="A53" s="65" t="s">
        <v>86</v>
      </c>
      <c r="B53" s="65"/>
      <c r="C53" s="65"/>
      <c r="D53" s="65"/>
      <c r="E53" s="65"/>
      <c r="F53" s="65"/>
      <c r="G53" s="65"/>
      <c r="H53" s="21"/>
      <c r="DD53" s="22"/>
      <c r="DE53" s="22" t="s">
        <v>86</v>
      </c>
    </row>
    <row r="54" spans="1:109" customFormat="1" ht="33.75" x14ac:dyDescent="0.25">
      <c r="A54" s="23">
        <f>IF(J54&lt;&gt;"",COUNTA(J$1:J54),"")</f>
        <v>28</v>
      </c>
      <c r="B54" s="24" t="s">
        <v>87</v>
      </c>
      <c r="C54" s="25" t="s">
        <v>88</v>
      </c>
      <c r="D54" s="26" t="s">
        <v>89</v>
      </c>
      <c r="E54" s="31">
        <v>8.4367999999999999</v>
      </c>
      <c r="F54" s="36" t="s">
        <v>90</v>
      </c>
      <c r="G54" s="36" t="s">
        <v>91</v>
      </c>
      <c r="H54" s="30"/>
      <c r="J54" s="1" t="s">
        <v>32</v>
      </c>
      <c r="DD54" s="22"/>
      <c r="DE54" s="22"/>
    </row>
    <row r="55" spans="1:109" customFormat="1" ht="33.75" x14ac:dyDescent="0.25">
      <c r="A55" s="23">
        <f>IF(J55&lt;&gt;"",COUNTA(J$1:J55),"")</f>
        <v>29</v>
      </c>
      <c r="B55" s="24" t="s">
        <v>92</v>
      </c>
      <c r="C55" s="25" t="s">
        <v>93</v>
      </c>
      <c r="D55" s="26" t="s">
        <v>89</v>
      </c>
      <c r="E55" s="31">
        <v>0.9325</v>
      </c>
      <c r="F55" s="36" t="s">
        <v>94</v>
      </c>
      <c r="G55" s="36" t="s">
        <v>95</v>
      </c>
      <c r="H55" s="30"/>
      <c r="J55" s="1" t="s">
        <v>32</v>
      </c>
      <c r="DD55" s="22"/>
      <c r="DE55" s="22"/>
    </row>
    <row r="56" spans="1:109" customFormat="1" ht="33.75" x14ac:dyDescent="0.25">
      <c r="A56" s="23">
        <f>IF(J56&lt;&gt;"",COUNTA(J$1:J56),"")</f>
        <v>30</v>
      </c>
      <c r="B56" s="24" t="s">
        <v>96</v>
      </c>
      <c r="C56" s="25" t="s">
        <v>97</v>
      </c>
      <c r="D56" s="26" t="s">
        <v>89</v>
      </c>
      <c r="E56" s="31">
        <v>4.7718999999999996</v>
      </c>
      <c r="F56" s="36" t="s">
        <v>98</v>
      </c>
      <c r="G56" s="36" t="s">
        <v>99</v>
      </c>
      <c r="H56" s="30"/>
      <c r="J56" s="1" t="s">
        <v>32</v>
      </c>
      <c r="DD56" s="22"/>
      <c r="DE56" s="22"/>
    </row>
    <row r="57" spans="1:109" customFormat="1" ht="33.75" x14ac:dyDescent="0.25">
      <c r="A57" s="23">
        <f>IF(J57&lt;&gt;"",COUNTA(J$1:J57),"")</f>
        <v>31</v>
      </c>
      <c r="B57" s="24" t="s">
        <v>100</v>
      </c>
      <c r="C57" s="25" t="s">
        <v>101</v>
      </c>
      <c r="D57" s="26" t="s">
        <v>89</v>
      </c>
      <c r="E57" s="31">
        <v>11.0136</v>
      </c>
      <c r="F57" s="36" t="s">
        <v>102</v>
      </c>
      <c r="G57" s="36" t="s">
        <v>103</v>
      </c>
      <c r="H57" s="30"/>
      <c r="J57" s="1" t="s">
        <v>32</v>
      </c>
      <c r="DD57" s="22"/>
      <c r="DE57" s="22"/>
    </row>
    <row r="58" spans="1:109" customFormat="1" ht="33.75" x14ac:dyDescent="0.25">
      <c r="A58" s="23">
        <f>IF(J58&lt;&gt;"",COUNTA(J$1:J58),"")</f>
        <v>32</v>
      </c>
      <c r="B58" s="24" t="s">
        <v>104</v>
      </c>
      <c r="C58" s="25" t="s">
        <v>105</v>
      </c>
      <c r="D58" s="26" t="s">
        <v>89</v>
      </c>
      <c r="E58" s="31">
        <v>139.5968</v>
      </c>
      <c r="F58" s="36" t="s">
        <v>106</v>
      </c>
      <c r="G58" s="36" t="s">
        <v>107</v>
      </c>
      <c r="H58" s="30"/>
      <c r="J58" s="1" t="s">
        <v>32</v>
      </c>
      <c r="DD58" s="22"/>
      <c r="DE58" s="22"/>
    </row>
    <row r="59" spans="1:109" customFormat="1" ht="15" x14ac:dyDescent="0.25">
      <c r="A59" s="23">
        <f>IF(J59&lt;&gt;"",COUNTA(J$1:J59),"")</f>
        <v>33</v>
      </c>
      <c r="B59" s="24" t="s">
        <v>108</v>
      </c>
      <c r="C59" s="25" t="s">
        <v>109</v>
      </c>
      <c r="D59" s="26" t="s">
        <v>89</v>
      </c>
      <c r="E59" s="31">
        <v>139.5968</v>
      </c>
      <c r="F59" s="29">
        <v>1411.86</v>
      </c>
      <c r="G59" s="29">
        <v>197091.14</v>
      </c>
      <c r="H59" s="30"/>
      <c r="J59" s="1" t="s">
        <v>32</v>
      </c>
      <c r="DD59" s="22"/>
      <c r="DE59" s="22"/>
    </row>
    <row r="60" spans="1:109" customFormat="1" ht="33.75" x14ac:dyDescent="0.25">
      <c r="A60" s="23">
        <f>IF(J60&lt;&gt;"",COUNTA(J$1:J60),"")</f>
        <v>34</v>
      </c>
      <c r="B60" s="24" t="s">
        <v>110</v>
      </c>
      <c r="C60" s="25" t="s">
        <v>111</v>
      </c>
      <c r="D60" s="26" t="s">
        <v>89</v>
      </c>
      <c r="E60" s="31">
        <v>92.785300000000007</v>
      </c>
      <c r="F60" s="36" t="s">
        <v>112</v>
      </c>
      <c r="G60" s="36" t="s">
        <v>113</v>
      </c>
      <c r="H60" s="30"/>
      <c r="J60" s="1" t="s">
        <v>32</v>
      </c>
      <c r="DD60" s="22"/>
      <c r="DE60" s="22"/>
    </row>
    <row r="61" spans="1:109" customFormat="1" ht="33.75" x14ac:dyDescent="0.25">
      <c r="A61" s="23">
        <f>IF(J61&lt;&gt;"",COUNTA(J$1:J61),"")</f>
        <v>35</v>
      </c>
      <c r="B61" s="24" t="s">
        <v>114</v>
      </c>
      <c r="C61" s="25" t="s">
        <v>115</v>
      </c>
      <c r="D61" s="26" t="s">
        <v>89</v>
      </c>
      <c r="E61" s="31">
        <v>4.5937999999999999</v>
      </c>
      <c r="F61" s="36" t="s">
        <v>116</v>
      </c>
      <c r="G61" s="36" t="s">
        <v>117</v>
      </c>
      <c r="H61" s="30"/>
      <c r="J61" s="1" t="s">
        <v>32</v>
      </c>
      <c r="DD61" s="22"/>
      <c r="DE61" s="22"/>
    </row>
    <row r="62" spans="1:109" customFormat="1" ht="33.75" x14ac:dyDescent="0.25">
      <c r="A62" s="23">
        <f>IF(J62&lt;&gt;"",COUNTA(J$1:J62),"")</f>
        <v>36</v>
      </c>
      <c r="B62" s="24" t="s">
        <v>118</v>
      </c>
      <c r="C62" s="25" t="s">
        <v>119</v>
      </c>
      <c r="D62" s="26" t="s">
        <v>89</v>
      </c>
      <c r="E62" s="31">
        <v>13.9697</v>
      </c>
      <c r="F62" s="36" t="s">
        <v>120</v>
      </c>
      <c r="G62" s="36" t="s">
        <v>121</v>
      </c>
      <c r="H62" s="30"/>
      <c r="J62" s="1" t="s">
        <v>32</v>
      </c>
      <c r="DD62" s="22"/>
      <c r="DE62" s="22"/>
    </row>
    <row r="63" spans="1:109" customFormat="1" ht="33.75" x14ac:dyDescent="0.25">
      <c r="A63" s="23">
        <f>IF(J63&lt;&gt;"",COUNTA(J$1:J63),"")</f>
        <v>37</v>
      </c>
      <c r="B63" s="24" t="s">
        <v>122</v>
      </c>
      <c r="C63" s="25" t="s">
        <v>123</v>
      </c>
      <c r="D63" s="26" t="s">
        <v>89</v>
      </c>
      <c r="E63" s="31">
        <v>135.74279999999999</v>
      </c>
      <c r="F63" s="36" t="s">
        <v>124</v>
      </c>
      <c r="G63" s="36" t="s">
        <v>125</v>
      </c>
      <c r="H63" s="30"/>
      <c r="J63" s="1" t="s">
        <v>32</v>
      </c>
      <c r="DD63" s="22"/>
      <c r="DE63" s="22"/>
    </row>
    <row r="64" spans="1:109" customFormat="1" ht="15" x14ac:dyDescent="0.25">
      <c r="A64" s="23">
        <f>IF(J64&lt;&gt;"",COUNTA(J$1:J64),"")</f>
        <v>38</v>
      </c>
      <c r="B64" s="24" t="s">
        <v>126</v>
      </c>
      <c r="C64" s="25" t="s">
        <v>127</v>
      </c>
      <c r="D64" s="26" t="s">
        <v>89</v>
      </c>
      <c r="E64" s="32">
        <v>2.6</v>
      </c>
      <c r="F64" s="28">
        <v>14.59</v>
      </c>
      <c r="G64" s="28">
        <v>37.93</v>
      </c>
      <c r="H64" s="30"/>
      <c r="J64" s="1" t="s">
        <v>32</v>
      </c>
      <c r="DD64" s="22"/>
      <c r="DE64" s="22"/>
    </row>
    <row r="65" spans="1:109" customFormat="1" ht="22.5" x14ac:dyDescent="0.25">
      <c r="A65" s="23">
        <f>IF(J65&lt;&gt;"",COUNTA(J$1:J65),"")</f>
        <v>39</v>
      </c>
      <c r="B65" s="24" t="s">
        <v>128</v>
      </c>
      <c r="C65" s="25" t="s">
        <v>129</v>
      </c>
      <c r="D65" s="26" t="s">
        <v>89</v>
      </c>
      <c r="E65" s="31">
        <v>0.25209999999999999</v>
      </c>
      <c r="F65" s="28">
        <v>8.81</v>
      </c>
      <c r="G65" s="28">
        <v>2.2400000000000002</v>
      </c>
      <c r="H65" s="30"/>
      <c r="J65" s="1" t="s">
        <v>32</v>
      </c>
      <c r="DD65" s="22"/>
      <c r="DE65" s="22"/>
    </row>
    <row r="66" spans="1:109" customFormat="1" ht="22.5" x14ac:dyDescent="0.25">
      <c r="A66" s="23">
        <f>IF(J66&lt;&gt;"",COUNTA(J$1:J66),"")</f>
        <v>40</v>
      </c>
      <c r="B66" s="24" t="s">
        <v>130</v>
      </c>
      <c r="C66" s="25" t="s">
        <v>131</v>
      </c>
      <c r="D66" s="26" t="s">
        <v>89</v>
      </c>
      <c r="E66" s="31">
        <v>3.9639000000000002</v>
      </c>
      <c r="F66" s="28">
        <v>11.66</v>
      </c>
      <c r="G66" s="28">
        <v>46.22</v>
      </c>
      <c r="H66" s="30"/>
      <c r="J66" s="1" t="s">
        <v>32</v>
      </c>
      <c r="DD66" s="22"/>
      <c r="DE66" s="22"/>
    </row>
    <row r="67" spans="1:109" customFormat="1" ht="45" x14ac:dyDescent="0.25">
      <c r="A67" s="23">
        <f>IF(J67&lt;&gt;"",COUNTA(J$1:J67),"")</f>
        <v>41</v>
      </c>
      <c r="B67" s="24" t="s">
        <v>132</v>
      </c>
      <c r="C67" s="25" t="s">
        <v>133</v>
      </c>
      <c r="D67" s="26" t="s">
        <v>89</v>
      </c>
      <c r="E67" s="31">
        <v>10.775700000000001</v>
      </c>
      <c r="F67" s="36" t="s">
        <v>134</v>
      </c>
      <c r="G67" s="36" t="s">
        <v>135</v>
      </c>
      <c r="H67" s="30"/>
      <c r="J67" s="1" t="s">
        <v>32</v>
      </c>
      <c r="DD67" s="22"/>
      <c r="DE67" s="22"/>
    </row>
    <row r="68" spans="1:109" customFormat="1" ht="33.75" x14ac:dyDescent="0.25">
      <c r="A68" s="23">
        <f>IF(J68&lt;&gt;"",COUNTA(J$1:J68),"")</f>
        <v>42</v>
      </c>
      <c r="B68" s="24" t="s">
        <v>136</v>
      </c>
      <c r="C68" s="25" t="s">
        <v>137</v>
      </c>
      <c r="D68" s="26" t="s">
        <v>89</v>
      </c>
      <c r="E68" s="27">
        <v>0.09</v>
      </c>
      <c r="F68" s="36" t="s">
        <v>138</v>
      </c>
      <c r="G68" s="36" t="s">
        <v>139</v>
      </c>
      <c r="H68" s="30"/>
      <c r="J68" s="1" t="s">
        <v>32</v>
      </c>
      <c r="DD68" s="22"/>
      <c r="DE68" s="22"/>
    </row>
    <row r="69" spans="1:109" customFormat="1" ht="45" x14ac:dyDescent="0.25">
      <c r="A69" s="23">
        <f>IF(J69&lt;&gt;"",COUNTA(J$1:J69),"")</f>
        <v>43</v>
      </c>
      <c r="B69" s="24" t="s">
        <v>140</v>
      </c>
      <c r="C69" s="25" t="s">
        <v>141</v>
      </c>
      <c r="D69" s="26" t="s">
        <v>89</v>
      </c>
      <c r="E69" s="33">
        <v>7.5949999999999998</v>
      </c>
      <c r="F69" s="36" t="s">
        <v>142</v>
      </c>
      <c r="G69" s="36" t="s">
        <v>143</v>
      </c>
      <c r="H69" s="30"/>
      <c r="J69" s="1" t="s">
        <v>32</v>
      </c>
      <c r="DD69" s="22"/>
      <c r="DE69" s="22"/>
    </row>
    <row r="70" spans="1:109" customFormat="1" ht="33.75" x14ac:dyDescent="0.25">
      <c r="A70" s="23">
        <f>IF(J70&lt;&gt;"",COUNTA(J$1:J70),"")</f>
        <v>44</v>
      </c>
      <c r="B70" s="24" t="s">
        <v>144</v>
      </c>
      <c r="C70" s="25" t="s">
        <v>145</v>
      </c>
      <c r="D70" s="26" t="s">
        <v>89</v>
      </c>
      <c r="E70" s="32">
        <v>1.3</v>
      </c>
      <c r="F70" s="36" t="s">
        <v>146</v>
      </c>
      <c r="G70" s="36" t="s">
        <v>147</v>
      </c>
      <c r="H70" s="30"/>
      <c r="J70" s="1" t="s">
        <v>32</v>
      </c>
      <c r="DD70" s="22"/>
      <c r="DE70" s="22"/>
    </row>
    <row r="71" spans="1:109" customFormat="1" ht="22.5" x14ac:dyDescent="0.25">
      <c r="A71" s="23">
        <f>IF(J71&lt;&gt;"",COUNTA(J$1:J71),"")</f>
        <v>45</v>
      </c>
      <c r="B71" s="24" t="s">
        <v>148</v>
      </c>
      <c r="C71" s="25" t="s">
        <v>149</v>
      </c>
      <c r="D71" s="26" t="s">
        <v>89</v>
      </c>
      <c r="E71" s="31">
        <v>0.5484</v>
      </c>
      <c r="F71" s="28">
        <v>22.01</v>
      </c>
      <c r="G71" s="28">
        <v>12.07</v>
      </c>
      <c r="H71" s="30"/>
      <c r="J71" s="1" t="s">
        <v>32</v>
      </c>
      <c r="DD71" s="22"/>
      <c r="DE71" s="22"/>
    </row>
    <row r="72" spans="1:109" customFormat="1" ht="15" x14ac:dyDescent="0.25">
      <c r="A72" s="23">
        <f>IF(J72&lt;&gt;"",COUNTA(J$1:J72),"")</f>
        <v>46</v>
      </c>
      <c r="B72" s="24" t="s">
        <v>150</v>
      </c>
      <c r="C72" s="25" t="s">
        <v>151</v>
      </c>
      <c r="D72" s="26" t="s">
        <v>89</v>
      </c>
      <c r="E72" s="31">
        <v>333.36059999999998</v>
      </c>
      <c r="F72" s="28">
        <v>2.33</v>
      </c>
      <c r="G72" s="28">
        <v>776.73</v>
      </c>
      <c r="H72" s="30"/>
      <c r="J72" s="1" t="s">
        <v>32</v>
      </c>
      <c r="DD72" s="22"/>
      <c r="DE72" s="22"/>
    </row>
    <row r="73" spans="1:109" customFormat="1" ht="15" x14ac:dyDescent="0.25">
      <c r="A73" s="23">
        <f>IF(J73&lt;&gt;"",COUNTA(J$1:J73),"")</f>
        <v>47</v>
      </c>
      <c r="B73" s="24" t="s">
        <v>152</v>
      </c>
      <c r="C73" s="25" t="s">
        <v>153</v>
      </c>
      <c r="D73" s="26" t="s">
        <v>89</v>
      </c>
      <c r="E73" s="31">
        <v>5.0204000000000004</v>
      </c>
      <c r="F73" s="28">
        <v>6.72</v>
      </c>
      <c r="G73" s="28">
        <v>33.729999999999997</v>
      </c>
      <c r="H73" s="30"/>
      <c r="J73" s="1" t="s">
        <v>32</v>
      </c>
      <c r="DD73" s="22"/>
      <c r="DE73" s="22"/>
    </row>
    <row r="74" spans="1:109" customFormat="1" ht="33.75" x14ac:dyDescent="0.25">
      <c r="A74" s="23">
        <f>IF(J74&lt;&gt;"",COUNTA(J$1:J74),"")</f>
        <v>48</v>
      </c>
      <c r="B74" s="24" t="s">
        <v>154</v>
      </c>
      <c r="C74" s="25" t="s">
        <v>155</v>
      </c>
      <c r="D74" s="26" t="s">
        <v>89</v>
      </c>
      <c r="E74" s="31">
        <v>1.3100000000000001E-2</v>
      </c>
      <c r="F74" s="36" t="s">
        <v>156</v>
      </c>
      <c r="G74" s="36" t="s">
        <v>157</v>
      </c>
      <c r="H74" s="30"/>
      <c r="J74" s="1" t="s">
        <v>32</v>
      </c>
      <c r="DD74" s="22"/>
      <c r="DE74" s="22"/>
    </row>
    <row r="75" spans="1:109" customFormat="1" ht="33.75" x14ac:dyDescent="0.25">
      <c r="A75" s="23">
        <f>IF(J75&lt;&gt;"",COUNTA(J$1:J75),"")</f>
        <v>49</v>
      </c>
      <c r="B75" s="24" t="s">
        <v>158</v>
      </c>
      <c r="C75" s="25" t="s">
        <v>159</v>
      </c>
      <c r="D75" s="26" t="s">
        <v>89</v>
      </c>
      <c r="E75" s="31">
        <v>24.625800000000002</v>
      </c>
      <c r="F75" s="36" t="s">
        <v>160</v>
      </c>
      <c r="G75" s="36" t="s">
        <v>161</v>
      </c>
      <c r="H75" s="30"/>
      <c r="J75" s="1" t="s">
        <v>32</v>
      </c>
      <c r="DD75" s="22"/>
      <c r="DE75" s="22"/>
    </row>
    <row r="76" spans="1:109" customFormat="1" ht="33.75" x14ac:dyDescent="0.25">
      <c r="A76" s="23">
        <f>IF(J76&lt;&gt;"",COUNTA(J$1:J76),"")</f>
        <v>50</v>
      </c>
      <c r="B76" s="24" t="s">
        <v>162</v>
      </c>
      <c r="C76" s="25" t="s">
        <v>163</v>
      </c>
      <c r="D76" s="26" t="s">
        <v>89</v>
      </c>
      <c r="E76" s="31">
        <v>1.6975</v>
      </c>
      <c r="F76" s="28">
        <v>30.7</v>
      </c>
      <c r="G76" s="28">
        <v>52.11</v>
      </c>
      <c r="H76" s="30"/>
      <c r="J76" s="1" t="s">
        <v>32</v>
      </c>
      <c r="DD76" s="22"/>
      <c r="DE76" s="22"/>
    </row>
    <row r="77" spans="1:109" customFormat="1" ht="33.75" x14ac:dyDescent="0.25">
      <c r="A77" s="23">
        <f>IF(J77&lt;&gt;"",COUNTA(J$1:J77),"")</f>
        <v>51</v>
      </c>
      <c r="B77" s="24" t="s">
        <v>164</v>
      </c>
      <c r="C77" s="25" t="s">
        <v>165</v>
      </c>
      <c r="D77" s="26" t="s">
        <v>89</v>
      </c>
      <c r="E77" s="31">
        <v>2.2385000000000002</v>
      </c>
      <c r="F77" s="36" t="s">
        <v>166</v>
      </c>
      <c r="G77" s="36" t="s">
        <v>167</v>
      </c>
      <c r="H77" s="30"/>
      <c r="J77" s="1" t="s">
        <v>32</v>
      </c>
      <c r="DD77" s="22"/>
      <c r="DE77" s="22"/>
    </row>
    <row r="78" spans="1:109" customFormat="1" ht="15" x14ac:dyDescent="0.25">
      <c r="A78" s="23">
        <f>IF(J78&lt;&gt;"",COUNTA(J$1:J78),"")</f>
        <v>52</v>
      </c>
      <c r="B78" s="24" t="s">
        <v>168</v>
      </c>
      <c r="C78" s="25" t="s">
        <v>169</v>
      </c>
      <c r="D78" s="26" t="s">
        <v>89</v>
      </c>
      <c r="E78" s="33">
        <v>35.125</v>
      </c>
      <c r="F78" s="28">
        <v>99.19</v>
      </c>
      <c r="G78" s="29">
        <v>3484.05</v>
      </c>
      <c r="H78" s="30"/>
      <c r="J78" s="1" t="s">
        <v>32</v>
      </c>
      <c r="DD78" s="22"/>
      <c r="DE78" s="22"/>
    </row>
    <row r="79" spans="1:109" customFormat="1" ht="22.5" x14ac:dyDescent="0.25">
      <c r="A79" s="23">
        <f>IF(J79&lt;&gt;"",COUNTA(J$1:J79),"")</f>
        <v>53</v>
      </c>
      <c r="B79" s="24" t="s">
        <v>170</v>
      </c>
      <c r="C79" s="25" t="s">
        <v>171</v>
      </c>
      <c r="D79" s="26" t="s">
        <v>89</v>
      </c>
      <c r="E79" s="33">
        <v>43.575000000000003</v>
      </c>
      <c r="F79" s="28">
        <v>3.95</v>
      </c>
      <c r="G79" s="28">
        <v>172.12</v>
      </c>
      <c r="H79" s="30"/>
      <c r="J79" s="1" t="s">
        <v>32</v>
      </c>
      <c r="DD79" s="22"/>
      <c r="DE79" s="22"/>
    </row>
    <row r="80" spans="1:109" customFormat="1" ht="22.5" x14ac:dyDescent="0.25">
      <c r="A80" s="23">
        <f>IF(J80&lt;&gt;"",COUNTA(J$1:J80),"")</f>
        <v>54</v>
      </c>
      <c r="B80" s="24" t="s">
        <v>172</v>
      </c>
      <c r="C80" s="25" t="s">
        <v>173</v>
      </c>
      <c r="D80" s="26" t="s">
        <v>89</v>
      </c>
      <c r="E80" s="33">
        <v>40.828000000000003</v>
      </c>
      <c r="F80" s="28">
        <v>3.95</v>
      </c>
      <c r="G80" s="28">
        <v>161.29</v>
      </c>
      <c r="H80" s="30"/>
      <c r="J80" s="1" t="s">
        <v>32</v>
      </c>
      <c r="DD80" s="22"/>
      <c r="DE80" s="22"/>
    </row>
    <row r="81" spans="1:109" customFormat="1" ht="33.75" x14ac:dyDescent="0.25">
      <c r="A81" s="23">
        <f>IF(J81&lt;&gt;"",COUNTA(J$1:J81),"")</f>
        <v>55</v>
      </c>
      <c r="B81" s="24" t="s">
        <v>174</v>
      </c>
      <c r="C81" s="25" t="s">
        <v>175</v>
      </c>
      <c r="D81" s="26" t="s">
        <v>89</v>
      </c>
      <c r="E81" s="31">
        <v>3.5855999999999999</v>
      </c>
      <c r="F81" s="36" t="s">
        <v>176</v>
      </c>
      <c r="G81" s="36" t="s">
        <v>177</v>
      </c>
      <c r="H81" s="30"/>
      <c r="J81" s="1" t="s">
        <v>32</v>
      </c>
      <c r="DD81" s="22"/>
      <c r="DE81" s="22"/>
    </row>
    <row r="82" spans="1:109" customFormat="1" ht="33.75" x14ac:dyDescent="0.25">
      <c r="A82" s="23">
        <f>IF(J82&lt;&gt;"",COUNTA(J$1:J82),"")</f>
        <v>56</v>
      </c>
      <c r="B82" s="24" t="s">
        <v>178</v>
      </c>
      <c r="C82" s="25" t="s">
        <v>179</v>
      </c>
      <c r="D82" s="26" t="s">
        <v>89</v>
      </c>
      <c r="E82" s="31">
        <v>21.123200000000001</v>
      </c>
      <c r="F82" s="36" t="s">
        <v>180</v>
      </c>
      <c r="G82" s="36" t="s">
        <v>181</v>
      </c>
      <c r="H82" s="30"/>
      <c r="J82" s="1" t="s">
        <v>32</v>
      </c>
      <c r="DD82" s="22"/>
      <c r="DE82" s="22"/>
    </row>
    <row r="83" spans="1:109" customFormat="1" ht="33.75" x14ac:dyDescent="0.25">
      <c r="A83" s="23">
        <f>IF(J83&lt;&gt;"",COUNTA(J$1:J83),"")</f>
        <v>57</v>
      </c>
      <c r="B83" s="24" t="s">
        <v>182</v>
      </c>
      <c r="C83" s="25" t="s">
        <v>183</v>
      </c>
      <c r="D83" s="26" t="s">
        <v>89</v>
      </c>
      <c r="E83" s="31">
        <v>2.1393</v>
      </c>
      <c r="F83" s="36" t="s">
        <v>184</v>
      </c>
      <c r="G83" s="36" t="s">
        <v>185</v>
      </c>
      <c r="H83" s="30"/>
      <c r="J83" s="1" t="s">
        <v>32</v>
      </c>
      <c r="DD83" s="22"/>
      <c r="DE83" s="22"/>
    </row>
    <row r="84" spans="1:109" customFormat="1" ht="33.75" x14ac:dyDescent="0.25">
      <c r="A84" s="23">
        <f>IF(J84&lt;&gt;"",COUNTA(J$1:J84),"")</f>
        <v>58</v>
      </c>
      <c r="B84" s="24" t="s">
        <v>186</v>
      </c>
      <c r="C84" s="25" t="s">
        <v>187</v>
      </c>
      <c r="D84" s="26" t="s">
        <v>188</v>
      </c>
      <c r="E84" s="39">
        <v>49.421010000000003</v>
      </c>
      <c r="F84" s="36" t="s">
        <v>189</v>
      </c>
      <c r="G84" s="36" t="s">
        <v>190</v>
      </c>
      <c r="H84" s="30"/>
      <c r="J84" s="1" t="s">
        <v>32</v>
      </c>
      <c r="DD84" s="22"/>
      <c r="DE84" s="22"/>
    </row>
    <row r="85" spans="1:109" customFormat="1" ht="33.75" x14ac:dyDescent="0.25">
      <c r="A85" s="23">
        <f>IF(J85&lt;&gt;"",COUNTA(J$1:J85),"")</f>
        <v>59</v>
      </c>
      <c r="B85" s="24" t="s">
        <v>191</v>
      </c>
      <c r="C85" s="25" t="s">
        <v>192</v>
      </c>
      <c r="D85" s="26" t="s">
        <v>89</v>
      </c>
      <c r="E85" s="31">
        <v>33.769599999999997</v>
      </c>
      <c r="F85" s="36" t="s">
        <v>193</v>
      </c>
      <c r="G85" s="36" t="s">
        <v>194</v>
      </c>
      <c r="H85" s="30"/>
      <c r="J85" s="1" t="s">
        <v>32</v>
      </c>
      <c r="DD85" s="22"/>
      <c r="DE85" s="22"/>
    </row>
    <row r="86" spans="1:109" customFormat="1" ht="33.75" x14ac:dyDescent="0.25">
      <c r="A86" s="23">
        <f>IF(J86&lt;&gt;"",COUNTA(J$1:J86),"")</f>
        <v>60</v>
      </c>
      <c r="B86" s="24" t="s">
        <v>195</v>
      </c>
      <c r="C86" s="25" t="s">
        <v>196</v>
      </c>
      <c r="D86" s="26" t="s">
        <v>89</v>
      </c>
      <c r="E86" s="31">
        <v>2.7551999999999999</v>
      </c>
      <c r="F86" s="36" t="s">
        <v>197</v>
      </c>
      <c r="G86" s="36" t="s">
        <v>198</v>
      </c>
      <c r="H86" s="30"/>
      <c r="J86" s="1" t="s">
        <v>32</v>
      </c>
      <c r="DD86" s="22"/>
      <c r="DE86" s="22"/>
    </row>
    <row r="87" spans="1:109" customFormat="1" ht="22.5" x14ac:dyDescent="0.25">
      <c r="A87" s="23">
        <f>IF(J87&lt;&gt;"",COUNTA(J$1:J87),"")</f>
        <v>61</v>
      </c>
      <c r="B87" s="24" t="s">
        <v>199</v>
      </c>
      <c r="C87" s="25" t="s">
        <v>200</v>
      </c>
      <c r="D87" s="26" t="s">
        <v>89</v>
      </c>
      <c r="E87" s="31">
        <v>2.7551999999999999</v>
      </c>
      <c r="F87" s="28">
        <v>111.19</v>
      </c>
      <c r="G87" s="28">
        <v>306.35000000000002</v>
      </c>
      <c r="H87" s="30"/>
      <c r="J87" s="1" t="s">
        <v>32</v>
      </c>
      <c r="DD87" s="22"/>
      <c r="DE87" s="22"/>
    </row>
    <row r="88" spans="1:109" customFormat="1" ht="15" x14ac:dyDescent="0.25">
      <c r="A88" s="23">
        <f>IF(J88&lt;&gt;"",COUNTA(J$1:J88),"")</f>
        <v>62</v>
      </c>
      <c r="B88" s="24" t="s">
        <v>201</v>
      </c>
      <c r="C88" s="25" t="s">
        <v>202</v>
      </c>
      <c r="D88" s="26" t="s">
        <v>89</v>
      </c>
      <c r="E88" s="33">
        <v>6.4119999999999999</v>
      </c>
      <c r="F88" s="28">
        <v>3.06</v>
      </c>
      <c r="G88" s="28">
        <v>19.62</v>
      </c>
      <c r="H88" s="30"/>
      <c r="J88" s="1" t="s">
        <v>32</v>
      </c>
      <c r="DD88" s="22"/>
      <c r="DE88" s="22"/>
    </row>
    <row r="89" spans="1:109" customFormat="1" ht="22.5" x14ac:dyDescent="0.25">
      <c r="A89" s="23">
        <f>IF(J89&lt;&gt;"",COUNTA(J$1:J89),"")</f>
        <v>63</v>
      </c>
      <c r="B89" s="24" t="s">
        <v>203</v>
      </c>
      <c r="C89" s="25" t="s">
        <v>204</v>
      </c>
      <c r="D89" s="26" t="s">
        <v>89</v>
      </c>
      <c r="E89" s="33">
        <v>0.76400000000000001</v>
      </c>
      <c r="F89" s="28">
        <v>5.75</v>
      </c>
      <c r="G89" s="28">
        <v>4.3899999999999997</v>
      </c>
      <c r="H89" s="30"/>
      <c r="J89" s="1" t="s">
        <v>32</v>
      </c>
      <c r="DD89" s="22"/>
      <c r="DE89" s="22"/>
    </row>
    <row r="90" spans="1:109" customFormat="1" ht="22.5" x14ac:dyDescent="0.25">
      <c r="A90" s="23">
        <f>IF(J90&lt;&gt;"",COUNTA(J$1:J90),"")</f>
        <v>64</v>
      </c>
      <c r="B90" s="24" t="s">
        <v>205</v>
      </c>
      <c r="C90" s="25" t="s">
        <v>206</v>
      </c>
      <c r="D90" s="26" t="s">
        <v>89</v>
      </c>
      <c r="E90" s="31">
        <v>456.53339999999997</v>
      </c>
      <c r="F90" s="28">
        <v>17.84</v>
      </c>
      <c r="G90" s="29">
        <v>8144.56</v>
      </c>
      <c r="H90" s="30"/>
      <c r="J90" s="1" t="s">
        <v>32</v>
      </c>
      <c r="DD90" s="22"/>
      <c r="DE90" s="22"/>
    </row>
    <row r="91" spans="1:109" customFormat="1" ht="33.75" x14ac:dyDescent="0.25">
      <c r="A91" s="23">
        <f>IF(J91&lt;&gt;"",COUNTA(J$1:J91),"")</f>
        <v>65</v>
      </c>
      <c r="B91" s="24" t="s">
        <v>207</v>
      </c>
      <c r="C91" s="25" t="s">
        <v>208</v>
      </c>
      <c r="D91" s="26" t="s">
        <v>89</v>
      </c>
      <c r="E91" s="31">
        <v>10.9739</v>
      </c>
      <c r="F91" s="36" t="s">
        <v>209</v>
      </c>
      <c r="G91" s="36" t="s">
        <v>210</v>
      </c>
      <c r="H91" s="30"/>
      <c r="J91" s="1" t="s">
        <v>32</v>
      </c>
      <c r="DD91" s="22"/>
      <c r="DE91" s="22"/>
    </row>
    <row r="92" spans="1:109" customFormat="1" ht="33.75" x14ac:dyDescent="0.25">
      <c r="A92" s="23">
        <f>IF(J92&lt;&gt;"",COUNTA(J$1:J92),"")</f>
        <v>66</v>
      </c>
      <c r="B92" s="24" t="s">
        <v>211</v>
      </c>
      <c r="C92" s="25" t="s">
        <v>212</v>
      </c>
      <c r="D92" s="26" t="s">
        <v>89</v>
      </c>
      <c r="E92" s="31">
        <v>48.236800000000002</v>
      </c>
      <c r="F92" s="36" t="s">
        <v>213</v>
      </c>
      <c r="G92" s="36" t="s">
        <v>214</v>
      </c>
      <c r="H92" s="30"/>
      <c r="J92" s="1" t="s">
        <v>32</v>
      </c>
      <c r="DD92" s="22"/>
      <c r="DE92" s="22"/>
    </row>
    <row r="93" spans="1:109" customFormat="1" ht="22.5" x14ac:dyDescent="0.25">
      <c r="A93" s="23">
        <f>IF(J93&lt;&gt;"",COUNTA(J$1:J93),"")</f>
        <v>67</v>
      </c>
      <c r="B93" s="24" t="s">
        <v>215</v>
      </c>
      <c r="C93" s="25" t="s">
        <v>216</v>
      </c>
      <c r="D93" s="26" t="s">
        <v>89</v>
      </c>
      <c r="E93" s="31">
        <v>15.7575</v>
      </c>
      <c r="F93" s="28">
        <v>17.989999999999998</v>
      </c>
      <c r="G93" s="28">
        <v>283.47000000000003</v>
      </c>
      <c r="H93" s="30"/>
      <c r="J93" s="1" t="s">
        <v>32</v>
      </c>
      <c r="DD93" s="22"/>
      <c r="DE93" s="22"/>
    </row>
    <row r="94" spans="1:109" customFormat="1" ht="33.75" x14ac:dyDescent="0.25">
      <c r="A94" s="23">
        <f>IF(J94&lt;&gt;"",COUNTA(J$1:J94),"")</f>
        <v>68</v>
      </c>
      <c r="B94" s="24" t="s">
        <v>217</v>
      </c>
      <c r="C94" s="25" t="s">
        <v>218</v>
      </c>
      <c r="D94" s="26" t="s">
        <v>89</v>
      </c>
      <c r="E94" s="33">
        <v>15.407999999999999</v>
      </c>
      <c r="F94" s="28">
        <v>36.18</v>
      </c>
      <c r="G94" s="28">
        <v>557.46</v>
      </c>
      <c r="H94" s="30"/>
      <c r="J94" s="1" t="s">
        <v>32</v>
      </c>
      <c r="DD94" s="22"/>
      <c r="DE94" s="22"/>
    </row>
    <row r="95" spans="1:109" customFormat="1" ht="33.75" x14ac:dyDescent="0.25">
      <c r="A95" s="23">
        <f>IF(J95&lt;&gt;"",COUNTA(J$1:J95),"")</f>
        <v>69</v>
      </c>
      <c r="B95" s="24" t="s">
        <v>219</v>
      </c>
      <c r="C95" s="25" t="s">
        <v>220</v>
      </c>
      <c r="D95" s="26" t="s">
        <v>89</v>
      </c>
      <c r="E95" s="31">
        <v>10.9739</v>
      </c>
      <c r="F95" s="28">
        <v>9.5299999999999994</v>
      </c>
      <c r="G95" s="28">
        <v>104.58</v>
      </c>
      <c r="H95" s="30"/>
      <c r="J95" s="1" t="s">
        <v>32</v>
      </c>
      <c r="DD95" s="22"/>
      <c r="DE95" s="22"/>
    </row>
    <row r="96" spans="1:109" customFormat="1" ht="22.5" x14ac:dyDescent="0.25">
      <c r="A96" s="23">
        <f>IF(J96&lt;&gt;"",COUNTA(J$1:J96),"")</f>
        <v>70</v>
      </c>
      <c r="B96" s="24" t="s">
        <v>221</v>
      </c>
      <c r="C96" s="25" t="s">
        <v>222</v>
      </c>
      <c r="D96" s="26" t="s">
        <v>89</v>
      </c>
      <c r="E96" s="27">
        <v>73.92</v>
      </c>
      <c r="F96" s="28">
        <v>4.8600000000000003</v>
      </c>
      <c r="G96" s="28">
        <v>359.25</v>
      </c>
      <c r="H96" s="30"/>
      <c r="J96" s="1" t="s">
        <v>32</v>
      </c>
      <c r="DD96" s="22"/>
      <c r="DE96" s="22"/>
    </row>
    <row r="97" spans="1:109" customFormat="1" ht="33.75" x14ac:dyDescent="0.25">
      <c r="A97" s="23">
        <f>IF(J97&lt;&gt;"",COUNTA(J$1:J97),"")</f>
        <v>71</v>
      </c>
      <c r="B97" s="24" t="s">
        <v>223</v>
      </c>
      <c r="C97" s="25" t="s">
        <v>224</v>
      </c>
      <c r="D97" s="26" t="s">
        <v>89</v>
      </c>
      <c r="E97" s="31">
        <v>13.717499999999999</v>
      </c>
      <c r="F97" s="28">
        <v>12.15</v>
      </c>
      <c r="G97" s="28">
        <v>166.67</v>
      </c>
      <c r="H97" s="30"/>
      <c r="J97" s="1" t="s">
        <v>32</v>
      </c>
      <c r="DD97" s="22"/>
      <c r="DE97" s="22"/>
    </row>
    <row r="98" spans="1:109" customFormat="1" ht="15" x14ac:dyDescent="0.25">
      <c r="A98" s="23">
        <f>IF(J98&lt;&gt;"",COUNTA(J$1:J98),"")</f>
        <v>72</v>
      </c>
      <c r="B98" s="24" t="s">
        <v>225</v>
      </c>
      <c r="C98" s="25" t="s">
        <v>226</v>
      </c>
      <c r="D98" s="26" t="s">
        <v>89</v>
      </c>
      <c r="E98" s="27">
        <v>105.98</v>
      </c>
      <c r="F98" s="28">
        <v>1.64</v>
      </c>
      <c r="G98" s="28">
        <v>173.81</v>
      </c>
      <c r="H98" s="30"/>
      <c r="J98" s="1" t="s">
        <v>32</v>
      </c>
      <c r="DD98" s="22"/>
      <c r="DE98" s="22"/>
    </row>
    <row r="99" spans="1:109" customFormat="1" ht="15" x14ac:dyDescent="0.25">
      <c r="A99" s="26"/>
      <c r="B99" s="24"/>
      <c r="C99" s="37" t="s">
        <v>227</v>
      </c>
      <c r="D99" s="23" t="s">
        <v>85</v>
      </c>
      <c r="E99" s="23"/>
      <c r="F99" s="36"/>
      <c r="G99" s="38">
        <v>3099067.43</v>
      </c>
      <c r="H99" s="30"/>
      <c r="DD99" s="22"/>
      <c r="DE99" s="22"/>
    </row>
    <row r="100" spans="1:109" customFormat="1" ht="15" x14ac:dyDescent="0.25">
      <c r="A100" s="65" t="s">
        <v>228</v>
      </c>
      <c r="B100" s="65"/>
      <c r="C100" s="65"/>
      <c r="D100" s="65"/>
      <c r="E100" s="65"/>
      <c r="F100" s="65"/>
      <c r="G100" s="65"/>
      <c r="H100" s="21"/>
      <c r="DD100" s="22"/>
      <c r="DE100" s="22" t="s">
        <v>228</v>
      </c>
    </row>
    <row r="101" spans="1:109" customFormat="1" ht="15" x14ac:dyDescent="0.25">
      <c r="A101" s="23">
        <f>IF(J101&lt;&gt;"",COUNTA(J$1:J101),"")</f>
        <v>73</v>
      </c>
      <c r="B101" s="24" t="s">
        <v>229</v>
      </c>
      <c r="C101" s="25" t="s">
        <v>230</v>
      </c>
      <c r="D101" s="26" t="s">
        <v>231</v>
      </c>
      <c r="E101" s="40">
        <v>1.2992E-2</v>
      </c>
      <c r="F101" s="29">
        <v>14251.42</v>
      </c>
      <c r="G101" s="28">
        <v>185.15</v>
      </c>
      <c r="H101" s="30"/>
      <c r="J101" s="1" t="s">
        <v>32</v>
      </c>
      <c r="DD101" s="22"/>
      <c r="DE101" s="22"/>
    </row>
    <row r="102" spans="1:109" customFormat="1" ht="15" x14ac:dyDescent="0.25">
      <c r="A102" s="23">
        <f>IF(J102&lt;&gt;"",COUNTA(J$1:J102),"")</f>
        <v>74</v>
      </c>
      <c r="B102" s="24" t="s">
        <v>232</v>
      </c>
      <c r="C102" s="25" t="s">
        <v>233</v>
      </c>
      <c r="D102" s="26" t="s">
        <v>231</v>
      </c>
      <c r="E102" s="31">
        <v>3.0800000000000001E-2</v>
      </c>
      <c r="F102" s="29">
        <v>33085.06</v>
      </c>
      <c r="G102" s="29">
        <v>1019.02</v>
      </c>
      <c r="H102" s="30"/>
      <c r="J102" s="1" t="s">
        <v>32</v>
      </c>
      <c r="DD102" s="22"/>
      <c r="DE102" s="22"/>
    </row>
    <row r="103" spans="1:109" customFormat="1" ht="15" x14ac:dyDescent="0.25">
      <c r="A103" s="23">
        <f>IF(J103&lt;&gt;"",COUNTA(J$1:J103),"")</f>
        <v>75</v>
      </c>
      <c r="B103" s="24" t="s">
        <v>234</v>
      </c>
      <c r="C103" s="25" t="s">
        <v>235</v>
      </c>
      <c r="D103" s="26" t="s">
        <v>231</v>
      </c>
      <c r="E103" s="40">
        <v>1.9487999999999998E-2</v>
      </c>
      <c r="F103" s="29">
        <v>35144.629999999997</v>
      </c>
      <c r="G103" s="28">
        <v>684.9</v>
      </c>
      <c r="H103" s="30"/>
      <c r="J103" s="1" t="s">
        <v>32</v>
      </c>
      <c r="DD103" s="22"/>
      <c r="DE103" s="22"/>
    </row>
    <row r="104" spans="1:109" customFormat="1" ht="15" x14ac:dyDescent="0.25">
      <c r="A104" s="23">
        <f>IF(J104&lt;&gt;"",COUNTA(J$1:J104),"")</f>
        <v>76</v>
      </c>
      <c r="B104" s="24" t="s">
        <v>236</v>
      </c>
      <c r="C104" s="25" t="s">
        <v>237</v>
      </c>
      <c r="D104" s="26" t="s">
        <v>238</v>
      </c>
      <c r="E104" s="31">
        <v>0.76160000000000005</v>
      </c>
      <c r="F104" s="28">
        <v>355.16</v>
      </c>
      <c r="G104" s="28">
        <v>270.49</v>
      </c>
      <c r="H104" s="30"/>
      <c r="J104" s="1" t="s">
        <v>32</v>
      </c>
      <c r="DD104" s="22"/>
      <c r="DE104" s="22"/>
    </row>
    <row r="105" spans="1:109" customFormat="1" ht="15" x14ac:dyDescent="0.25">
      <c r="A105" s="23">
        <f>IF(J105&lt;&gt;"",COUNTA(J$1:J105),"")</f>
        <v>77</v>
      </c>
      <c r="B105" s="24" t="s">
        <v>239</v>
      </c>
      <c r="C105" s="25" t="s">
        <v>240</v>
      </c>
      <c r="D105" s="26" t="s">
        <v>238</v>
      </c>
      <c r="E105" s="40">
        <v>5.0900470000000002</v>
      </c>
      <c r="F105" s="28">
        <v>53.05</v>
      </c>
      <c r="G105" s="28">
        <v>270.02999999999997</v>
      </c>
      <c r="H105" s="30"/>
      <c r="J105" s="1" t="s">
        <v>32</v>
      </c>
      <c r="DD105" s="22"/>
      <c r="DE105" s="22"/>
    </row>
    <row r="106" spans="1:109" customFormat="1" ht="15" x14ac:dyDescent="0.25">
      <c r="A106" s="23">
        <f>IF(J106&lt;&gt;"",COUNTA(J$1:J106),"")</f>
        <v>78</v>
      </c>
      <c r="B106" s="24" t="s">
        <v>241</v>
      </c>
      <c r="C106" s="25" t="s">
        <v>242</v>
      </c>
      <c r="D106" s="26" t="s">
        <v>243</v>
      </c>
      <c r="E106" s="40">
        <v>0.19645399999999999</v>
      </c>
      <c r="F106" s="28">
        <v>42.61</v>
      </c>
      <c r="G106" s="28">
        <v>8.3699999999999992</v>
      </c>
      <c r="H106" s="30"/>
      <c r="J106" s="1" t="s">
        <v>32</v>
      </c>
      <c r="DD106" s="22"/>
      <c r="DE106" s="22"/>
    </row>
    <row r="107" spans="1:109" customFormat="1" ht="22.5" x14ac:dyDescent="0.25">
      <c r="A107" s="23">
        <f>IF(J107&lt;&gt;"",COUNTA(J$1:J107),"")</f>
        <v>79</v>
      </c>
      <c r="B107" s="24" t="s">
        <v>244</v>
      </c>
      <c r="C107" s="25" t="s">
        <v>245</v>
      </c>
      <c r="D107" s="26" t="s">
        <v>246</v>
      </c>
      <c r="E107" s="31">
        <v>4.2615999999999996</v>
      </c>
      <c r="F107" s="29">
        <v>31224.92</v>
      </c>
      <c r="G107" s="29">
        <v>133068.12</v>
      </c>
      <c r="H107" s="30"/>
      <c r="J107" s="1" t="s">
        <v>32</v>
      </c>
      <c r="DD107" s="22"/>
      <c r="DE107" s="22"/>
    </row>
    <row r="108" spans="1:109" customFormat="1" ht="15" x14ac:dyDescent="0.25">
      <c r="A108" s="23">
        <f>IF(J108&lt;&gt;"",COUNTA(J$1:J108),"")</f>
        <v>80</v>
      </c>
      <c r="B108" s="24" t="s">
        <v>247</v>
      </c>
      <c r="C108" s="25" t="s">
        <v>248</v>
      </c>
      <c r="D108" s="26" t="s">
        <v>238</v>
      </c>
      <c r="E108" s="39">
        <v>91.464439999999996</v>
      </c>
      <c r="F108" s="28">
        <v>4.25</v>
      </c>
      <c r="G108" s="28">
        <v>388.72</v>
      </c>
      <c r="H108" s="30"/>
      <c r="J108" s="1" t="s">
        <v>32</v>
      </c>
      <c r="DD108" s="22"/>
      <c r="DE108" s="22"/>
    </row>
    <row r="109" spans="1:109" customFormat="1" ht="15" x14ac:dyDescent="0.25">
      <c r="A109" s="23">
        <f>IF(J109&lt;&gt;"",COUNTA(J$1:J109),"")</f>
        <v>81</v>
      </c>
      <c r="B109" s="24" t="s">
        <v>249</v>
      </c>
      <c r="C109" s="25" t="s">
        <v>250</v>
      </c>
      <c r="D109" s="26" t="s">
        <v>251</v>
      </c>
      <c r="E109" s="40">
        <v>776.43149500000004</v>
      </c>
      <c r="F109" s="28">
        <v>4.09</v>
      </c>
      <c r="G109" s="29">
        <v>3175.59</v>
      </c>
      <c r="H109" s="30"/>
      <c r="J109" s="1" t="s">
        <v>32</v>
      </c>
      <c r="DD109" s="22"/>
      <c r="DE109" s="22"/>
    </row>
    <row r="110" spans="1:109" customFormat="1" ht="22.5" x14ac:dyDescent="0.25">
      <c r="A110" s="23">
        <f>IF(J110&lt;&gt;"",COUNTA(J$1:J110),"")</f>
        <v>82</v>
      </c>
      <c r="B110" s="24" t="s">
        <v>252</v>
      </c>
      <c r="C110" s="25" t="s">
        <v>253</v>
      </c>
      <c r="D110" s="26" t="s">
        <v>246</v>
      </c>
      <c r="E110" s="34">
        <v>1</v>
      </c>
      <c r="F110" s="28">
        <v>488.75</v>
      </c>
      <c r="G110" s="28">
        <v>488.75</v>
      </c>
      <c r="H110" s="30"/>
      <c r="J110" s="1" t="s">
        <v>32</v>
      </c>
      <c r="DD110" s="22"/>
      <c r="DE110" s="22"/>
    </row>
    <row r="111" spans="1:109" customFormat="1" ht="15" x14ac:dyDescent="0.25">
      <c r="A111" s="23">
        <f>IF(J111&lt;&gt;"",COUNTA(J$1:J111),"")</f>
        <v>83</v>
      </c>
      <c r="B111" s="24" t="s">
        <v>254</v>
      </c>
      <c r="C111" s="25" t="s">
        <v>255</v>
      </c>
      <c r="D111" s="26" t="s">
        <v>256</v>
      </c>
      <c r="E111" s="33">
        <v>1289.7660000000001</v>
      </c>
      <c r="F111" s="28">
        <v>12.28</v>
      </c>
      <c r="G111" s="29">
        <v>15838.32</v>
      </c>
      <c r="H111" s="30"/>
      <c r="J111" s="1" t="s">
        <v>32</v>
      </c>
      <c r="DD111" s="22"/>
      <c r="DE111" s="22"/>
    </row>
    <row r="112" spans="1:109" customFormat="1" ht="15" x14ac:dyDescent="0.25">
      <c r="A112" s="23">
        <f>IF(J112&lt;&gt;"",COUNTA(J$1:J112),"")</f>
        <v>84</v>
      </c>
      <c r="B112" s="24" t="s">
        <v>257</v>
      </c>
      <c r="C112" s="25" t="s">
        <v>258</v>
      </c>
      <c r="D112" s="26" t="s">
        <v>259</v>
      </c>
      <c r="E112" s="27">
        <v>689.99</v>
      </c>
      <c r="F112" s="28">
        <v>39.01</v>
      </c>
      <c r="G112" s="29">
        <v>26916.51</v>
      </c>
      <c r="H112" s="30"/>
      <c r="J112" s="1" t="s">
        <v>32</v>
      </c>
      <c r="DD112" s="22"/>
      <c r="DE112" s="22"/>
    </row>
    <row r="113" spans="1:109" customFormat="1" ht="15" x14ac:dyDescent="0.25">
      <c r="A113" s="23">
        <f>IF(J113&lt;&gt;"",COUNTA(J$1:J113),"")</f>
        <v>85</v>
      </c>
      <c r="B113" s="24" t="s">
        <v>260</v>
      </c>
      <c r="C113" s="25" t="s">
        <v>261</v>
      </c>
      <c r="D113" s="26" t="s">
        <v>243</v>
      </c>
      <c r="E113" s="34">
        <v>12</v>
      </c>
      <c r="F113" s="28">
        <v>48.44</v>
      </c>
      <c r="G113" s="28">
        <v>581.28</v>
      </c>
      <c r="H113" s="30"/>
      <c r="J113" s="1" t="s">
        <v>32</v>
      </c>
      <c r="DD113" s="22"/>
      <c r="DE113" s="22"/>
    </row>
    <row r="114" spans="1:109" customFormat="1" ht="15" x14ac:dyDescent="0.25">
      <c r="A114" s="23">
        <f>IF(J114&lt;&gt;"",COUNTA(J$1:J114),"")</f>
        <v>86</v>
      </c>
      <c r="B114" s="24" t="s">
        <v>262</v>
      </c>
      <c r="C114" s="25" t="s">
        <v>263</v>
      </c>
      <c r="D114" s="26" t="s">
        <v>231</v>
      </c>
      <c r="E114" s="40">
        <v>6.1200000000000002E-4</v>
      </c>
      <c r="F114" s="29">
        <v>87416.67</v>
      </c>
      <c r="G114" s="28">
        <v>53.5</v>
      </c>
      <c r="H114" s="30"/>
      <c r="J114" s="1" t="s">
        <v>32</v>
      </c>
      <c r="DD114" s="22"/>
      <c r="DE114" s="22"/>
    </row>
    <row r="115" spans="1:109" customFormat="1" ht="22.5" x14ac:dyDescent="0.25">
      <c r="A115" s="23">
        <f>IF(J115&lt;&gt;"",COUNTA(J$1:J115),"")</f>
        <v>87</v>
      </c>
      <c r="B115" s="24" t="s">
        <v>264</v>
      </c>
      <c r="C115" s="25" t="s">
        <v>265</v>
      </c>
      <c r="D115" s="26" t="s">
        <v>231</v>
      </c>
      <c r="E115" s="40">
        <v>7.783E-3</v>
      </c>
      <c r="F115" s="29">
        <v>126972.22</v>
      </c>
      <c r="G115" s="28">
        <v>988.23</v>
      </c>
      <c r="H115" s="30"/>
      <c r="J115" s="1" t="s">
        <v>32</v>
      </c>
      <c r="DD115" s="22"/>
      <c r="DE115" s="22"/>
    </row>
    <row r="116" spans="1:109" customFormat="1" ht="15" x14ac:dyDescent="0.25">
      <c r="A116" s="23">
        <f>IF(J116&lt;&gt;"",COUNTA(J$1:J116),"")</f>
        <v>88</v>
      </c>
      <c r="B116" s="24" t="s">
        <v>266</v>
      </c>
      <c r="C116" s="25" t="s">
        <v>267</v>
      </c>
      <c r="D116" s="26" t="s">
        <v>231</v>
      </c>
      <c r="E116" s="40">
        <v>4.6119999999999998E-3</v>
      </c>
      <c r="F116" s="29">
        <v>152686.39000000001</v>
      </c>
      <c r="G116" s="28">
        <v>704.19</v>
      </c>
      <c r="H116" s="30"/>
      <c r="J116" s="1" t="s">
        <v>32</v>
      </c>
      <c r="DD116" s="22"/>
      <c r="DE116" s="22"/>
    </row>
    <row r="117" spans="1:109" customFormat="1" ht="15" x14ac:dyDescent="0.25">
      <c r="A117" s="23">
        <f>IF(J117&lt;&gt;"",COUNTA(J$1:J117),"")</f>
        <v>89</v>
      </c>
      <c r="B117" s="24" t="s">
        <v>268</v>
      </c>
      <c r="C117" s="25" t="s">
        <v>269</v>
      </c>
      <c r="D117" s="26" t="s">
        <v>231</v>
      </c>
      <c r="E117" s="33">
        <v>0.63600000000000001</v>
      </c>
      <c r="F117" s="29">
        <v>121695</v>
      </c>
      <c r="G117" s="29">
        <v>77398.02</v>
      </c>
      <c r="H117" s="30"/>
      <c r="J117" s="1" t="s">
        <v>32</v>
      </c>
      <c r="DD117" s="22"/>
      <c r="DE117" s="22"/>
    </row>
    <row r="118" spans="1:109" customFormat="1" ht="15" x14ac:dyDescent="0.25">
      <c r="A118" s="23">
        <f>IF(J118&lt;&gt;"",COUNTA(J$1:J118),"")</f>
        <v>90</v>
      </c>
      <c r="B118" s="24" t="s">
        <v>270</v>
      </c>
      <c r="C118" s="25" t="s">
        <v>271</v>
      </c>
      <c r="D118" s="26" t="s">
        <v>231</v>
      </c>
      <c r="E118" s="39">
        <v>1.2600000000000001E-3</v>
      </c>
      <c r="F118" s="29">
        <v>116666.67</v>
      </c>
      <c r="G118" s="28">
        <v>147</v>
      </c>
      <c r="H118" s="30"/>
      <c r="J118" s="1" t="s">
        <v>32</v>
      </c>
      <c r="DD118" s="22"/>
      <c r="DE118" s="22"/>
    </row>
    <row r="119" spans="1:109" customFormat="1" ht="22.5" x14ac:dyDescent="0.25">
      <c r="A119" s="23">
        <f>IF(J119&lt;&gt;"",COUNTA(J$1:J119),"")</f>
        <v>91</v>
      </c>
      <c r="B119" s="24" t="s">
        <v>272</v>
      </c>
      <c r="C119" s="25" t="s">
        <v>273</v>
      </c>
      <c r="D119" s="26" t="s">
        <v>259</v>
      </c>
      <c r="E119" s="27">
        <v>401.12</v>
      </c>
      <c r="F119" s="28">
        <v>230.13</v>
      </c>
      <c r="G119" s="29">
        <v>92309.75</v>
      </c>
      <c r="H119" s="30"/>
      <c r="J119" s="1" t="s">
        <v>32</v>
      </c>
      <c r="DD119" s="22"/>
      <c r="DE119" s="22"/>
    </row>
    <row r="120" spans="1:109" customFormat="1" ht="15" x14ac:dyDescent="0.25">
      <c r="A120" s="23">
        <f>IF(J120&lt;&gt;"",COUNTA(J$1:J120),"")</f>
        <v>92</v>
      </c>
      <c r="B120" s="24" t="s">
        <v>274</v>
      </c>
      <c r="C120" s="25" t="s">
        <v>275</v>
      </c>
      <c r="D120" s="26" t="s">
        <v>243</v>
      </c>
      <c r="E120" s="40">
        <v>1.4406620000000001</v>
      </c>
      <c r="F120" s="28">
        <v>82.19</v>
      </c>
      <c r="G120" s="28">
        <v>118.41</v>
      </c>
      <c r="H120" s="30"/>
      <c r="J120" s="1" t="s">
        <v>32</v>
      </c>
      <c r="DD120" s="22"/>
      <c r="DE120" s="22"/>
    </row>
    <row r="121" spans="1:109" customFormat="1" ht="15" x14ac:dyDescent="0.25">
      <c r="A121" s="23">
        <f>IF(J121&lt;&gt;"",COUNTA(J$1:J121),"")</f>
        <v>93</v>
      </c>
      <c r="B121" s="24" t="s">
        <v>276</v>
      </c>
      <c r="C121" s="25" t="s">
        <v>277</v>
      </c>
      <c r="D121" s="26" t="s">
        <v>231</v>
      </c>
      <c r="E121" s="40">
        <v>0.209007</v>
      </c>
      <c r="F121" s="29">
        <v>61396.91</v>
      </c>
      <c r="G121" s="29">
        <v>12832.38</v>
      </c>
      <c r="H121" s="30"/>
      <c r="J121" s="1" t="s">
        <v>32</v>
      </c>
      <c r="DD121" s="22"/>
      <c r="DE121" s="22"/>
    </row>
    <row r="122" spans="1:109" customFormat="1" ht="22.5" x14ac:dyDescent="0.25">
      <c r="A122" s="23">
        <f>IF(J122&lt;&gt;"",COUNTA(J$1:J122),"")</f>
        <v>94</v>
      </c>
      <c r="B122" s="24" t="s">
        <v>278</v>
      </c>
      <c r="C122" s="25" t="s">
        <v>279</v>
      </c>
      <c r="D122" s="26" t="s">
        <v>231</v>
      </c>
      <c r="E122" s="31">
        <v>2.5000000000000001E-3</v>
      </c>
      <c r="F122" s="29">
        <v>73946.960000000006</v>
      </c>
      <c r="G122" s="28">
        <v>184.87</v>
      </c>
      <c r="H122" s="30"/>
      <c r="J122" s="1" t="s">
        <v>32</v>
      </c>
      <c r="DD122" s="22"/>
      <c r="DE122" s="22"/>
    </row>
    <row r="123" spans="1:109" customFormat="1" ht="22.5" x14ac:dyDescent="0.25">
      <c r="A123" s="23">
        <f>IF(J123&lt;&gt;"",COUNTA(J$1:J123),"")</f>
        <v>95</v>
      </c>
      <c r="B123" s="24" t="s">
        <v>280</v>
      </c>
      <c r="C123" s="25" t="s">
        <v>281</v>
      </c>
      <c r="D123" s="26" t="s">
        <v>282</v>
      </c>
      <c r="E123" s="32">
        <v>16.3</v>
      </c>
      <c r="F123" s="29">
        <v>1167.52</v>
      </c>
      <c r="G123" s="29">
        <v>19030.580000000002</v>
      </c>
      <c r="H123" s="30"/>
      <c r="J123" s="1" t="s">
        <v>32</v>
      </c>
      <c r="DD123" s="22"/>
      <c r="DE123" s="22"/>
    </row>
    <row r="124" spans="1:109" customFormat="1" ht="15" x14ac:dyDescent="0.25">
      <c r="A124" s="23">
        <f>IF(J124&lt;&gt;"",COUNTA(J$1:J124),"")</f>
        <v>96</v>
      </c>
      <c r="B124" s="24" t="s">
        <v>283</v>
      </c>
      <c r="C124" s="25" t="s">
        <v>284</v>
      </c>
      <c r="D124" s="26" t="s">
        <v>231</v>
      </c>
      <c r="E124" s="39">
        <v>3.1494800000000001</v>
      </c>
      <c r="F124" s="29">
        <v>2684.99</v>
      </c>
      <c r="G124" s="29">
        <v>8456.32</v>
      </c>
      <c r="H124" s="30"/>
      <c r="J124" s="1" t="s">
        <v>32</v>
      </c>
      <c r="DD124" s="22"/>
      <c r="DE124" s="22"/>
    </row>
    <row r="125" spans="1:109" customFormat="1" ht="15" x14ac:dyDescent="0.25">
      <c r="A125" s="23">
        <f>IF(J125&lt;&gt;"",COUNTA(J$1:J125),"")</f>
        <v>97</v>
      </c>
      <c r="B125" s="24" t="s">
        <v>285</v>
      </c>
      <c r="C125" s="25" t="s">
        <v>286</v>
      </c>
      <c r="D125" s="26" t="s">
        <v>287</v>
      </c>
      <c r="E125" s="33">
        <v>8.9250000000000007</v>
      </c>
      <c r="F125" s="28">
        <v>28.44</v>
      </c>
      <c r="G125" s="28">
        <v>253.83</v>
      </c>
      <c r="H125" s="30"/>
      <c r="J125" s="1" t="s">
        <v>32</v>
      </c>
      <c r="DD125" s="22"/>
      <c r="DE125" s="22"/>
    </row>
    <row r="126" spans="1:109" customFormat="1" ht="15" x14ac:dyDescent="0.25">
      <c r="A126" s="23">
        <f>IF(J126&lt;&gt;"",COUNTA(J$1:J126),"")</f>
        <v>98</v>
      </c>
      <c r="B126" s="24" t="s">
        <v>288</v>
      </c>
      <c r="C126" s="25" t="s">
        <v>289</v>
      </c>
      <c r="D126" s="26" t="s">
        <v>243</v>
      </c>
      <c r="E126" s="31">
        <v>31.0642</v>
      </c>
      <c r="F126" s="28">
        <v>110.35</v>
      </c>
      <c r="G126" s="29">
        <v>3427.94</v>
      </c>
      <c r="H126" s="30"/>
      <c r="J126" s="1" t="s">
        <v>32</v>
      </c>
      <c r="DD126" s="22"/>
      <c r="DE126" s="22"/>
    </row>
    <row r="127" spans="1:109" customFormat="1" ht="22.5" x14ac:dyDescent="0.25">
      <c r="A127" s="23">
        <f>IF(J127&lt;&gt;"",COUNTA(J$1:J127),"")</f>
        <v>99</v>
      </c>
      <c r="B127" s="24" t="s">
        <v>290</v>
      </c>
      <c r="C127" s="25" t="s">
        <v>291</v>
      </c>
      <c r="D127" s="26" t="s">
        <v>231</v>
      </c>
      <c r="E127" s="40">
        <v>4.3000000000000002E-5</v>
      </c>
      <c r="F127" s="29">
        <v>257497.51</v>
      </c>
      <c r="G127" s="28">
        <v>11.07</v>
      </c>
      <c r="H127" s="30"/>
      <c r="J127" s="1" t="s">
        <v>32</v>
      </c>
      <c r="DD127" s="22"/>
      <c r="DE127" s="22"/>
    </row>
    <row r="128" spans="1:109" customFormat="1" ht="15" x14ac:dyDescent="0.25">
      <c r="A128" s="23">
        <f>IF(J128&lt;&gt;"",COUNTA(J$1:J128),"")</f>
        <v>100</v>
      </c>
      <c r="B128" s="24" t="s">
        <v>292</v>
      </c>
      <c r="C128" s="25" t="s">
        <v>293</v>
      </c>
      <c r="D128" s="26" t="s">
        <v>231</v>
      </c>
      <c r="E128" s="39">
        <v>0.19348000000000001</v>
      </c>
      <c r="F128" s="29">
        <v>3229.28</v>
      </c>
      <c r="G128" s="28">
        <v>624.80999999999995</v>
      </c>
      <c r="H128" s="30"/>
      <c r="J128" s="1" t="s">
        <v>32</v>
      </c>
      <c r="DD128" s="22"/>
      <c r="DE128" s="22"/>
    </row>
    <row r="129" spans="1:109" customFormat="1" ht="22.5" x14ac:dyDescent="0.25">
      <c r="A129" s="23">
        <f>IF(J129&lt;&gt;"",COUNTA(J$1:J129),"")</f>
        <v>101</v>
      </c>
      <c r="B129" s="24" t="s">
        <v>294</v>
      </c>
      <c r="C129" s="25" t="s">
        <v>295</v>
      </c>
      <c r="D129" s="26" t="s">
        <v>231</v>
      </c>
      <c r="E129" s="33">
        <v>1.2999999999999999E-2</v>
      </c>
      <c r="F129" s="29">
        <v>3895.83</v>
      </c>
      <c r="G129" s="28">
        <v>50.65</v>
      </c>
      <c r="H129" s="30"/>
      <c r="J129" s="1" t="s">
        <v>32</v>
      </c>
      <c r="DD129" s="22"/>
      <c r="DE129" s="22"/>
    </row>
    <row r="130" spans="1:109" customFormat="1" ht="22.5" x14ac:dyDescent="0.25">
      <c r="A130" s="23">
        <f>IF(J130&lt;&gt;"",COUNTA(J$1:J130),"")</f>
        <v>102</v>
      </c>
      <c r="B130" s="24" t="s">
        <v>296</v>
      </c>
      <c r="C130" s="25" t="s">
        <v>297</v>
      </c>
      <c r="D130" s="26" t="s">
        <v>231</v>
      </c>
      <c r="E130" s="31">
        <v>6.8014000000000001</v>
      </c>
      <c r="F130" s="29">
        <v>4426.24</v>
      </c>
      <c r="G130" s="29">
        <v>30104.63</v>
      </c>
      <c r="H130" s="30"/>
      <c r="J130" s="1" t="s">
        <v>32</v>
      </c>
      <c r="DD130" s="22"/>
      <c r="DE130" s="22"/>
    </row>
    <row r="131" spans="1:109" customFormat="1" ht="22.5" x14ac:dyDescent="0.25">
      <c r="A131" s="23">
        <f>IF(J131&lt;&gt;"",COUNTA(J$1:J131),"")</f>
        <v>103</v>
      </c>
      <c r="B131" s="24" t="s">
        <v>298</v>
      </c>
      <c r="C131" s="25" t="s">
        <v>299</v>
      </c>
      <c r="D131" s="26" t="s">
        <v>238</v>
      </c>
      <c r="E131" s="31">
        <v>0.22720000000000001</v>
      </c>
      <c r="F131" s="29">
        <v>5499.37</v>
      </c>
      <c r="G131" s="29">
        <v>1249.46</v>
      </c>
      <c r="H131" s="30"/>
      <c r="J131" s="1" t="s">
        <v>32</v>
      </c>
      <c r="DD131" s="22"/>
      <c r="DE131" s="22"/>
    </row>
    <row r="132" spans="1:109" customFormat="1" ht="22.5" x14ac:dyDescent="0.25">
      <c r="A132" s="23">
        <f>IF(J132&lt;&gt;"",COUNTA(J$1:J132),"")</f>
        <v>104</v>
      </c>
      <c r="B132" s="24" t="s">
        <v>300</v>
      </c>
      <c r="C132" s="25" t="s">
        <v>301</v>
      </c>
      <c r="D132" s="26" t="s">
        <v>238</v>
      </c>
      <c r="E132" s="33">
        <v>628.28499999999997</v>
      </c>
      <c r="F132" s="29">
        <v>5852.11</v>
      </c>
      <c r="G132" s="29">
        <v>3676792.93</v>
      </c>
      <c r="H132" s="30"/>
      <c r="J132" s="1" t="s">
        <v>32</v>
      </c>
      <c r="DD132" s="22"/>
      <c r="DE132" s="22"/>
    </row>
    <row r="133" spans="1:109" customFormat="1" ht="22.5" x14ac:dyDescent="0.25">
      <c r="A133" s="23">
        <f>IF(J133&lt;&gt;"",COUNTA(J$1:J133),"")</f>
        <v>105</v>
      </c>
      <c r="B133" s="24" t="s">
        <v>302</v>
      </c>
      <c r="C133" s="25" t="s">
        <v>303</v>
      </c>
      <c r="D133" s="26" t="s">
        <v>238</v>
      </c>
      <c r="E133" s="33">
        <v>11.933999999999999</v>
      </c>
      <c r="F133" s="29">
        <v>8108.54</v>
      </c>
      <c r="G133" s="29">
        <v>96767.32</v>
      </c>
      <c r="H133" s="30"/>
      <c r="J133" s="1" t="s">
        <v>32</v>
      </c>
      <c r="DD133" s="22"/>
      <c r="DE133" s="22"/>
    </row>
    <row r="134" spans="1:109" customFormat="1" ht="22.5" x14ac:dyDescent="0.25">
      <c r="A134" s="23">
        <f>IF(J134&lt;&gt;"",COUNTA(J$1:J134),"")</f>
        <v>106</v>
      </c>
      <c r="B134" s="24" t="s">
        <v>304</v>
      </c>
      <c r="C134" s="25" t="s">
        <v>305</v>
      </c>
      <c r="D134" s="26" t="s">
        <v>238</v>
      </c>
      <c r="E134" s="32">
        <v>3.1</v>
      </c>
      <c r="F134" s="29">
        <v>7727.82</v>
      </c>
      <c r="G134" s="29">
        <v>23956.240000000002</v>
      </c>
      <c r="H134" s="30"/>
      <c r="J134" s="1" t="s">
        <v>32</v>
      </c>
      <c r="DD134" s="22"/>
      <c r="DE134" s="22"/>
    </row>
    <row r="135" spans="1:109" customFormat="1" ht="15" x14ac:dyDescent="0.25">
      <c r="A135" s="23">
        <f>IF(J135&lt;&gt;"",COUNTA(J$1:J135),"")</f>
        <v>107</v>
      </c>
      <c r="B135" s="24" t="s">
        <v>306</v>
      </c>
      <c r="C135" s="25" t="s">
        <v>307</v>
      </c>
      <c r="D135" s="26" t="s">
        <v>238</v>
      </c>
      <c r="E135" s="33">
        <v>0.52800000000000002</v>
      </c>
      <c r="F135" s="29">
        <v>5204.3999999999996</v>
      </c>
      <c r="G135" s="29">
        <v>2747.92</v>
      </c>
      <c r="H135" s="30"/>
      <c r="J135" s="1" t="s">
        <v>32</v>
      </c>
      <c r="DD135" s="22"/>
      <c r="DE135" s="22"/>
    </row>
    <row r="136" spans="1:109" customFormat="1" ht="15" x14ac:dyDescent="0.25">
      <c r="A136" s="23">
        <f>IF(J136&lt;&gt;"",COUNTA(J$1:J136),"")</f>
        <v>108</v>
      </c>
      <c r="B136" s="24" t="s">
        <v>308</v>
      </c>
      <c r="C136" s="25" t="s">
        <v>309</v>
      </c>
      <c r="D136" s="26" t="s">
        <v>238</v>
      </c>
      <c r="E136" s="31">
        <v>0.3125</v>
      </c>
      <c r="F136" s="29">
        <v>5160.47</v>
      </c>
      <c r="G136" s="29">
        <v>1612.65</v>
      </c>
      <c r="H136" s="30"/>
      <c r="J136" s="1" t="s">
        <v>32</v>
      </c>
      <c r="DD136" s="22"/>
      <c r="DE136" s="22"/>
    </row>
    <row r="137" spans="1:109" customFormat="1" ht="67.5" x14ac:dyDescent="0.25">
      <c r="A137" s="23">
        <f>IF(J137&lt;&gt;"",COUNTA(J$1:J137),"")</f>
        <v>109</v>
      </c>
      <c r="B137" s="24" t="s">
        <v>310</v>
      </c>
      <c r="C137" s="25" t="s">
        <v>311</v>
      </c>
      <c r="D137" s="26" t="s">
        <v>243</v>
      </c>
      <c r="E137" s="34">
        <v>2100</v>
      </c>
      <c r="F137" s="28">
        <v>43.19</v>
      </c>
      <c r="G137" s="29">
        <v>90699</v>
      </c>
      <c r="H137" s="30"/>
      <c r="J137" s="1" t="s">
        <v>32</v>
      </c>
      <c r="DD137" s="22"/>
      <c r="DE137" s="22"/>
    </row>
    <row r="138" spans="1:109" customFormat="1" ht="15" x14ac:dyDescent="0.25">
      <c r="A138" s="23">
        <f>IF(J138&lt;&gt;"",COUNTA(J$1:J138),"")</f>
        <v>110</v>
      </c>
      <c r="B138" s="24" t="s">
        <v>312</v>
      </c>
      <c r="C138" s="25" t="s">
        <v>313</v>
      </c>
      <c r="D138" s="26" t="s">
        <v>231</v>
      </c>
      <c r="E138" s="27">
        <v>0.05</v>
      </c>
      <c r="F138" s="29">
        <v>26234.52</v>
      </c>
      <c r="G138" s="29">
        <v>1311.73</v>
      </c>
      <c r="H138" s="30"/>
      <c r="J138" s="1" t="s">
        <v>32</v>
      </c>
      <c r="DD138" s="22"/>
      <c r="DE138" s="22"/>
    </row>
    <row r="139" spans="1:109" customFormat="1" ht="33.75" x14ac:dyDescent="0.25">
      <c r="A139" s="23">
        <f>IF(J139&lt;&gt;"",COUNTA(J$1:J139),"")</f>
        <v>111</v>
      </c>
      <c r="B139" s="24" t="s">
        <v>314</v>
      </c>
      <c r="C139" s="25" t="s">
        <v>315</v>
      </c>
      <c r="D139" s="26" t="s">
        <v>246</v>
      </c>
      <c r="E139" s="27">
        <v>114.24</v>
      </c>
      <c r="F139" s="29">
        <v>11458.73</v>
      </c>
      <c r="G139" s="29">
        <v>1309045.32</v>
      </c>
      <c r="H139" s="30"/>
      <c r="J139" s="1" t="s">
        <v>32</v>
      </c>
      <c r="DD139" s="22"/>
      <c r="DE139" s="22"/>
    </row>
    <row r="140" spans="1:109" customFormat="1" ht="33.75" x14ac:dyDescent="0.25">
      <c r="A140" s="23">
        <f>IF(J140&lt;&gt;"",COUNTA(J$1:J140),"")</f>
        <v>112</v>
      </c>
      <c r="B140" s="24" t="s">
        <v>316</v>
      </c>
      <c r="C140" s="25" t="s">
        <v>317</v>
      </c>
      <c r="D140" s="26" t="s">
        <v>246</v>
      </c>
      <c r="E140" s="34">
        <v>32</v>
      </c>
      <c r="F140" s="29">
        <v>1310.5899999999999</v>
      </c>
      <c r="G140" s="29">
        <v>41938.879999999997</v>
      </c>
      <c r="H140" s="30"/>
      <c r="J140" s="1" t="s">
        <v>32</v>
      </c>
      <c r="DD140" s="22"/>
      <c r="DE140" s="22"/>
    </row>
    <row r="141" spans="1:109" customFormat="1" ht="22.5" x14ac:dyDescent="0.25">
      <c r="A141" s="23">
        <f>IF(J141&lt;&gt;"",COUNTA(J$1:J141),"")</f>
        <v>113</v>
      </c>
      <c r="B141" s="24" t="s">
        <v>318</v>
      </c>
      <c r="C141" s="25" t="s">
        <v>319</v>
      </c>
      <c r="D141" s="26" t="s">
        <v>259</v>
      </c>
      <c r="E141" s="34">
        <v>625</v>
      </c>
      <c r="F141" s="28">
        <v>180.69</v>
      </c>
      <c r="G141" s="29">
        <v>112931.25</v>
      </c>
      <c r="H141" s="30"/>
      <c r="J141" s="1" t="s">
        <v>32</v>
      </c>
      <c r="DD141" s="22"/>
      <c r="DE141" s="22"/>
    </row>
    <row r="142" spans="1:109" customFormat="1" ht="22.5" x14ac:dyDescent="0.25">
      <c r="A142" s="23">
        <f>IF(J142&lt;&gt;"",COUNTA(J$1:J142),"")</f>
        <v>114</v>
      </c>
      <c r="B142" s="24" t="s">
        <v>320</v>
      </c>
      <c r="C142" s="25" t="s">
        <v>321</v>
      </c>
      <c r="D142" s="26" t="s">
        <v>259</v>
      </c>
      <c r="E142" s="34">
        <v>102</v>
      </c>
      <c r="F142" s="28">
        <v>520.69000000000005</v>
      </c>
      <c r="G142" s="29">
        <v>53110.38</v>
      </c>
      <c r="H142" s="30"/>
      <c r="J142" s="1" t="s">
        <v>32</v>
      </c>
      <c r="DD142" s="22"/>
      <c r="DE142" s="22"/>
    </row>
    <row r="143" spans="1:109" customFormat="1" ht="15" x14ac:dyDescent="0.25">
      <c r="A143" s="23">
        <f>IF(J143&lt;&gt;"",COUNTA(J$1:J143),"")</f>
        <v>115</v>
      </c>
      <c r="B143" s="24" t="s">
        <v>322</v>
      </c>
      <c r="C143" s="25" t="s">
        <v>323</v>
      </c>
      <c r="D143" s="26" t="s">
        <v>246</v>
      </c>
      <c r="E143" s="40">
        <v>1.544E-3</v>
      </c>
      <c r="F143" s="29">
        <v>2525.9899999999998</v>
      </c>
      <c r="G143" s="28">
        <v>3.9</v>
      </c>
      <c r="H143" s="30"/>
      <c r="J143" s="1" t="s">
        <v>32</v>
      </c>
      <c r="DD143" s="22"/>
      <c r="DE143" s="22"/>
    </row>
    <row r="144" spans="1:109" customFormat="1" ht="22.5" x14ac:dyDescent="0.25">
      <c r="A144" s="23">
        <f>IF(J144&lt;&gt;"",COUNTA(J$1:J144),"")</f>
        <v>116</v>
      </c>
      <c r="B144" s="24" t="s">
        <v>324</v>
      </c>
      <c r="C144" s="25" t="s">
        <v>325</v>
      </c>
      <c r="D144" s="26" t="s">
        <v>231</v>
      </c>
      <c r="E144" s="34">
        <v>1</v>
      </c>
      <c r="F144" s="29">
        <v>130555.56</v>
      </c>
      <c r="G144" s="29">
        <v>130555.56</v>
      </c>
      <c r="H144" s="30"/>
      <c r="J144" s="1" t="s">
        <v>32</v>
      </c>
      <c r="DD144" s="22"/>
      <c r="DE144" s="22"/>
    </row>
    <row r="145" spans="1:109" customFormat="1" ht="33.75" x14ac:dyDescent="0.25">
      <c r="A145" s="23">
        <f>IF(J145&lt;&gt;"",COUNTA(J$1:J145),"")</f>
        <v>117</v>
      </c>
      <c r="B145" s="24" t="s">
        <v>326</v>
      </c>
      <c r="C145" s="25" t="s">
        <v>327</v>
      </c>
      <c r="D145" s="26" t="s">
        <v>231</v>
      </c>
      <c r="E145" s="40">
        <v>5.3066000000000002E-2</v>
      </c>
      <c r="F145" s="29">
        <v>130555.56</v>
      </c>
      <c r="G145" s="29">
        <v>6928.06</v>
      </c>
      <c r="H145" s="30"/>
      <c r="J145" s="1" t="s">
        <v>32</v>
      </c>
      <c r="DD145" s="22"/>
      <c r="DE145" s="22"/>
    </row>
    <row r="146" spans="1:109" customFormat="1" ht="33.75" x14ac:dyDescent="0.25">
      <c r="A146" s="23">
        <f>IF(J146&lt;&gt;"",COUNTA(J$1:J146),"")</f>
        <v>118</v>
      </c>
      <c r="B146" s="24" t="s">
        <v>328</v>
      </c>
      <c r="C146" s="25" t="s">
        <v>329</v>
      </c>
      <c r="D146" s="26" t="s">
        <v>231</v>
      </c>
      <c r="E146" s="40">
        <v>0.43656400000000001</v>
      </c>
      <c r="F146" s="29">
        <v>130555.56</v>
      </c>
      <c r="G146" s="29">
        <v>56995.86</v>
      </c>
      <c r="H146" s="30"/>
      <c r="J146" s="1" t="s">
        <v>32</v>
      </c>
      <c r="DD146" s="22"/>
      <c r="DE146" s="22"/>
    </row>
    <row r="147" spans="1:109" customFormat="1" ht="22.5" x14ac:dyDescent="0.25">
      <c r="A147" s="23">
        <f>IF(J147&lt;&gt;"",COUNTA(J$1:J147),"")</f>
        <v>119</v>
      </c>
      <c r="B147" s="24" t="s">
        <v>330</v>
      </c>
      <c r="C147" s="25" t="s">
        <v>331</v>
      </c>
      <c r="D147" s="26" t="s">
        <v>259</v>
      </c>
      <c r="E147" s="34">
        <v>108</v>
      </c>
      <c r="F147" s="28">
        <v>189.39</v>
      </c>
      <c r="G147" s="29">
        <v>20454.12</v>
      </c>
      <c r="H147" s="30"/>
      <c r="J147" s="1" t="s">
        <v>32</v>
      </c>
      <c r="DD147" s="22"/>
      <c r="DE147" s="22"/>
    </row>
    <row r="148" spans="1:109" customFormat="1" ht="45" x14ac:dyDescent="0.25">
      <c r="A148" s="23">
        <f>IF(J148&lt;&gt;"",COUNTA(J$1:J148),"")</f>
        <v>120</v>
      </c>
      <c r="B148" s="24" t="s">
        <v>332</v>
      </c>
      <c r="C148" s="25" t="s">
        <v>333</v>
      </c>
      <c r="D148" s="26" t="s">
        <v>256</v>
      </c>
      <c r="E148" s="40">
        <v>8.1639999999999994E-3</v>
      </c>
      <c r="F148" s="28">
        <v>396.49</v>
      </c>
      <c r="G148" s="28">
        <v>3.24</v>
      </c>
      <c r="H148" s="30"/>
      <c r="J148" s="1" t="s">
        <v>32</v>
      </c>
      <c r="DD148" s="22"/>
      <c r="DE148" s="22"/>
    </row>
    <row r="149" spans="1:109" customFormat="1" ht="22.5" x14ac:dyDescent="0.25">
      <c r="A149" s="23">
        <f>IF(J149&lt;&gt;"",COUNTA(J$1:J149),"")</f>
        <v>121</v>
      </c>
      <c r="B149" s="24" t="s">
        <v>334</v>
      </c>
      <c r="C149" s="25" t="s">
        <v>335</v>
      </c>
      <c r="D149" s="26" t="s">
        <v>231</v>
      </c>
      <c r="E149" s="40">
        <v>0.14647499999999999</v>
      </c>
      <c r="F149" s="29">
        <v>55036.18</v>
      </c>
      <c r="G149" s="29">
        <v>8061.42</v>
      </c>
      <c r="H149" s="30"/>
      <c r="J149" s="1" t="s">
        <v>32</v>
      </c>
      <c r="DD149" s="22"/>
      <c r="DE149" s="22"/>
    </row>
    <row r="150" spans="1:109" customFormat="1" ht="22.5" x14ac:dyDescent="0.25">
      <c r="A150" s="23">
        <f>IF(J150&lt;&gt;"",COUNTA(J$1:J150),"")</f>
        <v>122</v>
      </c>
      <c r="B150" s="24" t="s">
        <v>336</v>
      </c>
      <c r="C150" s="25" t="s">
        <v>337</v>
      </c>
      <c r="D150" s="26" t="s">
        <v>231</v>
      </c>
      <c r="E150" s="40">
        <v>9.2768000000000003E-2</v>
      </c>
      <c r="F150" s="29">
        <v>81992.789999999994</v>
      </c>
      <c r="G150" s="29">
        <v>7606.31</v>
      </c>
      <c r="H150" s="30"/>
      <c r="J150" s="1" t="s">
        <v>32</v>
      </c>
      <c r="DD150" s="22"/>
      <c r="DE150" s="22"/>
    </row>
    <row r="151" spans="1:109" customFormat="1" ht="15" x14ac:dyDescent="0.25">
      <c r="A151" s="23">
        <f>IF(J151&lt;&gt;"",COUNTA(J$1:J151),"")</f>
        <v>123</v>
      </c>
      <c r="B151" s="24" t="s">
        <v>338</v>
      </c>
      <c r="C151" s="25" t="s">
        <v>339</v>
      </c>
      <c r="D151" s="26" t="s">
        <v>243</v>
      </c>
      <c r="E151" s="34">
        <v>162</v>
      </c>
      <c r="F151" s="28">
        <v>58</v>
      </c>
      <c r="G151" s="29">
        <v>9396</v>
      </c>
      <c r="H151" s="30"/>
      <c r="J151" s="1" t="s">
        <v>32</v>
      </c>
      <c r="DD151" s="22"/>
      <c r="DE151" s="22"/>
    </row>
    <row r="152" spans="1:109" customFormat="1" ht="15" x14ac:dyDescent="0.25">
      <c r="A152" s="23">
        <f>IF(J152&lt;&gt;"",COUNTA(J$1:J152),"")</f>
        <v>124</v>
      </c>
      <c r="B152" s="24" t="s">
        <v>340</v>
      </c>
      <c r="C152" s="25" t="s">
        <v>341</v>
      </c>
      <c r="D152" s="26" t="s">
        <v>231</v>
      </c>
      <c r="E152" s="40">
        <v>0.115338</v>
      </c>
      <c r="F152" s="29">
        <v>52420.83</v>
      </c>
      <c r="G152" s="29">
        <v>6046.09</v>
      </c>
      <c r="H152" s="30"/>
      <c r="J152" s="1" t="s">
        <v>32</v>
      </c>
      <c r="DD152" s="22"/>
      <c r="DE152" s="22"/>
    </row>
    <row r="153" spans="1:109" customFormat="1" ht="15" x14ac:dyDescent="0.25">
      <c r="A153" s="23">
        <f>IF(J153&lt;&gt;"",COUNTA(J$1:J153),"")</f>
        <v>125</v>
      </c>
      <c r="B153" s="24" t="s">
        <v>342</v>
      </c>
      <c r="C153" s="25" t="s">
        <v>343</v>
      </c>
      <c r="D153" s="26" t="s">
        <v>231</v>
      </c>
      <c r="E153" s="40">
        <v>8.4699999999999999E-4</v>
      </c>
      <c r="F153" s="29">
        <v>82114.31</v>
      </c>
      <c r="G153" s="28">
        <v>69.55</v>
      </c>
      <c r="H153" s="30"/>
      <c r="J153" s="1" t="s">
        <v>32</v>
      </c>
      <c r="DD153" s="22"/>
      <c r="DE153" s="22"/>
    </row>
    <row r="154" spans="1:109" customFormat="1" ht="22.5" x14ac:dyDescent="0.25">
      <c r="A154" s="23">
        <f>IF(J154&lt;&gt;"",COUNTA(J$1:J154),"")</f>
        <v>126</v>
      </c>
      <c r="B154" s="24" t="s">
        <v>344</v>
      </c>
      <c r="C154" s="25" t="s">
        <v>345</v>
      </c>
      <c r="D154" s="26" t="s">
        <v>231</v>
      </c>
      <c r="E154" s="39">
        <v>0.15443999999999999</v>
      </c>
      <c r="F154" s="29">
        <v>116811.91</v>
      </c>
      <c r="G154" s="29">
        <v>18040.43</v>
      </c>
      <c r="H154" s="30"/>
      <c r="J154" s="1" t="s">
        <v>32</v>
      </c>
      <c r="DD154" s="22"/>
      <c r="DE154" s="22"/>
    </row>
    <row r="155" spans="1:109" customFormat="1" ht="15" x14ac:dyDescent="0.25">
      <c r="A155" s="23">
        <f>IF(J155&lt;&gt;"",COUNTA(J$1:J155),"")</f>
        <v>127</v>
      </c>
      <c r="B155" s="24" t="s">
        <v>346</v>
      </c>
      <c r="C155" s="25" t="s">
        <v>347</v>
      </c>
      <c r="D155" s="26" t="s">
        <v>231</v>
      </c>
      <c r="E155" s="39">
        <v>1.1267100000000001</v>
      </c>
      <c r="F155" s="29">
        <v>135416.67000000001</v>
      </c>
      <c r="G155" s="29">
        <v>152575.32</v>
      </c>
      <c r="H155" s="30"/>
      <c r="J155" s="1" t="s">
        <v>32</v>
      </c>
      <c r="DD155" s="22"/>
      <c r="DE155" s="22"/>
    </row>
    <row r="156" spans="1:109" customFormat="1" ht="15" x14ac:dyDescent="0.25">
      <c r="A156" s="23">
        <f>IF(J156&lt;&gt;"",COUNTA(J$1:J156),"")</f>
        <v>128</v>
      </c>
      <c r="B156" s="24" t="s">
        <v>348</v>
      </c>
      <c r="C156" s="25" t="s">
        <v>349</v>
      </c>
      <c r="D156" s="26" t="s">
        <v>231</v>
      </c>
      <c r="E156" s="31">
        <v>7.8399999999999997E-2</v>
      </c>
      <c r="F156" s="29">
        <v>135416.67000000001</v>
      </c>
      <c r="G156" s="29">
        <v>10616.67</v>
      </c>
      <c r="H156" s="30"/>
      <c r="J156" s="1" t="s">
        <v>32</v>
      </c>
      <c r="DD156" s="22"/>
      <c r="DE156" s="22"/>
    </row>
    <row r="157" spans="1:109" customFormat="1" ht="15" x14ac:dyDescent="0.25">
      <c r="A157" s="23">
        <f>IF(J157&lt;&gt;"",COUNTA(J$1:J157),"")</f>
        <v>129</v>
      </c>
      <c r="B157" s="24" t="s">
        <v>350</v>
      </c>
      <c r="C157" s="25" t="s">
        <v>351</v>
      </c>
      <c r="D157" s="26" t="s">
        <v>231</v>
      </c>
      <c r="E157" s="33">
        <v>2E-3</v>
      </c>
      <c r="F157" s="29">
        <v>135416.67000000001</v>
      </c>
      <c r="G157" s="28">
        <v>270.83</v>
      </c>
      <c r="H157" s="30"/>
      <c r="J157" s="1" t="s">
        <v>32</v>
      </c>
      <c r="DD157" s="22"/>
      <c r="DE157" s="22"/>
    </row>
    <row r="158" spans="1:109" customFormat="1" ht="15" x14ac:dyDescent="0.25">
      <c r="A158" s="23">
        <f>IF(J158&lt;&gt;"",COUNTA(J$1:J158),"")</f>
        <v>130</v>
      </c>
      <c r="B158" s="24" t="s">
        <v>352</v>
      </c>
      <c r="C158" s="25" t="s">
        <v>353</v>
      </c>
      <c r="D158" s="26" t="s">
        <v>231</v>
      </c>
      <c r="E158" s="31">
        <v>0.8085</v>
      </c>
      <c r="F158" s="29">
        <v>76340.66</v>
      </c>
      <c r="G158" s="29">
        <v>61721.42</v>
      </c>
      <c r="H158" s="30"/>
      <c r="J158" s="1" t="s">
        <v>32</v>
      </c>
      <c r="DD158" s="22"/>
      <c r="DE158" s="22"/>
    </row>
    <row r="159" spans="1:109" customFormat="1" ht="22.5" x14ac:dyDescent="0.25">
      <c r="A159" s="23">
        <f>IF(J159&lt;&gt;"",COUNTA(J$1:J159),"")</f>
        <v>131</v>
      </c>
      <c r="B159" s="24" t="s">
        <v>354</v>
      </c>
      <c r="C159" s="25" t="s">
        <v>355</v>
      </c>
      <c r="D159" s="26" t="s">
        <v>231</v>
      </c>
      <c r="E159" s="33">
        <v>8.0000000000000002E-3</v>
      </c>
      <c r="F159" s="29">
        <v>55400</v>
      </c>
      <c r="G159" s="28">
        <v>443.2</v>
      </c>
      <c r="H159" s="30"/>
      <c r="J159" s="1" t="s">
        <v>32</v>
      </c>
      <c r="DD159" s="22"/>
      <c r="DE159" s="22"/>
    </row>
    <row r="160" spans="1:109" customFormat="1" ht="22.5" x14ac:dyDescent="0.25">
      <c r="A160" s="23">
        <f>IF(J160&lt;&gt;"",COUNTA(J$1:J160),"")</f>
        <v>132</v>
      </c>
      <c r="B160" s="24" t="s">
        <v>356</v>
      </c>
      <c r="C160" s="25" t="s">
        <v>357</v>
      </c>
      <c r="D160" s="26" t="s">
        <v>231</v>
      </c>
      <c r="E160" s="33">
        <v>0.95799999999999996</v>
      </c>
      <c r="F160" s="29">
        <v>55561.25</v>
      </c>
      <c r="G160" s="29">
        <v>53227.68</v>
      </c>
      <c r="H160" s="30"/>
      <c r="J160" s="1" t="s">
        <v>32</v>
      </c>
      <c r="DD160" s="22"/>
      <c r="DE160" s="22"/>
    </row>
    <row r="161" spans="1:109" customFormat="1" ht="22.5" x14ac:dyDescent="0.25">
      <c r="A161" s="23">
        <f>IF(J161&lt;&gt;"",COUNTA(J$1:J161),"")</f>
        <v>133</v>
      </c>
      <c r="B161" s="24" t="s">
        <v>358</v>
      </c>
      <c r="C161" s="25" t="s">
        <v>359</v>
      </c>
      <c r="D161" s="26" t="s">
        <v>231</v>
      </c>
      <c r="E161" s="33">
        <v>7.8840000000000003</v>
      </c>
      <c r="F161" s="29">
        <v>52796.25</v>
      </c>
      <c r="G161" s="29">
        <v>416245.64</v>
      </c>
      <c r="H161" s="30"/>
      <c r="J161" s="1" t="s">
        <v>32</v>
      </c>
      <c r="DD161" s="22"/>
      <c r="DE161" s="22"/>
    </row>
    <row r="162" spans="1:109" customFormat="1" ht="22.5" x14ac:dyDescent="0.25">
      <c r="A162" s="23">
        <f>IF(J162&lt;&gt;"",COUNTA(J$1:J162),"")</f>
        <v>134</v>
      </c>
      <c r="B162" s="24" t="s">
        <v>360</v>
      </c>
      <c r="C162" s="25" t="s">
        <v>361</v>
      </c>
      <c r="D162" s="26" t="s">
        <v>231</v>
      </c>
      <c r="E162" s="33">
        <v>23.331</v>
      </c>
      <c r="F162" s="29">
        <v>52796.25</v>
      </c>
      <c r="G162" s="29">
        <v>1231789.31</v>
      </c>
      <c r="H162" s="30"/>
      <c r="J162" s="1" t="s">
        <v>32</v>
      </c>
      <c r="DD162" s="22"/>
      <c r="DE162" s="22"/>
    </row>
    <row r="163" spans="1:109" customFormat="1" ht="22.5" x14ac:dyDescent="0.25">
      <c r="A163" s="23">
        <f>IF(J163&lt;&gt;"",COUNTA(J$1:J163),"")</f>
        <v>135</v>
      </c>
      <c r="B163" s="24" t="s">
        <v>362</v>
      </c>
      <c r="C163" s="25" t="s">
        <v>363</v>
      </c>
      <c r="D163" s="26" t="s">
        <v>231</v>
      </c>
      <c r="E163" s="33">
        <v>0.36599999999999999</v>
      </c>
      <c r="F163" s="29">
        <v>52796.25</v>
      </c>
      <c r="G163" s="29">
        <v>19323.43</v>
      </c>
      <c r="H163" s="30"/>
      <c r="J163" s="1" t="s">
        <v>32</v>
      </c>
      <c r="DD163" s="22"/>
      <c r="DE163" s="22"/>
    </row>
    <row r="164" spans="1:109" customFormat="1" ht="22.5" x14ac:dyDescent="0.25">
      <c r="A164" s="23">
        <f>IF(J164&lt;&gt;"",COUNTA(J$1:J164),"")</f>
        <v>136</v>
      </c>
      <c r="B164" s="24" t="s">
        <v>364</v>
      </c>
      <c r="C164" s="25" t="s">
        <v>365</v>
      </c>
      <c r="D164" s="26" t="s">
        <v>231</v>
      </c>
      <c r="E164" s="33">
        <v>0.13400000000000001</v>
      </c>
      <c r="F164" s="29">
        <v>57505.42</v>
      </c>
      <c r="G164" s="29">
        <v>7705.73</v>
      </c>
      <c r="H164" s="30"/>
      <c r="J164" s="1" t="s">
        <v>32</v>
      </c>
      <c r="DD164" s="22"/>
      <c r="DE164" s="22"/>
    </row>
    <row r="165" spans="1:109" customFormat="1" ht="22.5" x14ac:dyDescent="0.25">
      <c r="A165" s="23">
        <f>IF(J165&lt;&gt;"",COUNTA(J$1:J165),"")</f>
        <v>137</v>
      </c>
      <c r="B165" s="24" t="s">
        <v>366</v>
      </c>
      <c r="C165" s="25" t="s">
        <v>367</v>
      </c>
      <c r="D165" s="26" t="s">
        <v>238</v>
      </c>
      <c r="E165" s="33">
        <v>2.238</v>
      </c>
      <c r="F165" s="29">
        <v>6555.56</v>
      </c>
      <c r="G165" s="29">
        <v>14671.34</v>
      </c>
      <c r="H165" s="30"/>
      <c r="J165" s="1" t="s">
        <v>32</v>
      </c>
      <c r="DD165" s="22"/>
      <c r="DE165" s="22"/>
    </row>
    <row r="166" spans="1:109" customFormat="1" ht="33.75" x14ac:dyDescent="0.25">
      <c r="A166" s="23">
        <f>IF(J166&lt;&gt;"",COUNTA(J$1:J166),"")</f>
        <v>138</v>
      </c>
      <c r="B166" s="24" t="s">
        <v>368</v>
      </c>
      <c r="C166" s="25" t="s">
        <v>369</v>
      </c>
      <c r="D166" s="26" t="s">
        <v>238</v>
      </c>
      <c r="E166" s="27">
        <v>0.42</v>
      </c>
      <c r="F166" s="29">
        <v>13341.34</v>
      </c>
      <c r="G166" s="29">
        <v>5603.36</v>
      </c>
      <c r="H166" s="30"/>
      <c r="J166" s="1" t="s">
        <v>32</v>
      </c>
      <c r="DD166" s="22"/>
      <c r="DE166" s="22"/>
    </row>
    <row r="167" spans="1:109" customFormat="1" ht="22.5" x14ac:dyDescent="0.25">
      <c r="A167" s="23">
        <f>IF(J167&lt;&gt;"",COUNTA(J$1:J167),"")</f>
        <v>139</v>
      </c>
      <c r="B167" s="24" t="s">
        <v>370</v>
      </c>
      <c r="C167" s="25" t="s">
        <v>371</v>
      </c>
      <c r="D167" s="26" t="s">
        <v>238</v>
      </c>
      <c r="E167" s="39">
        <v>0.36736000000000002</v>
      </c>
      <c r="F167" s="29">
        <v>15432.56</v>
      </c>
      <c r="G167" s="29">
        <v>5669.31</v>
      </c>
      <c r="H167" s="30"/>
      <c r="J167" s="1" t="s">
        <v>32</v>
      </c>
      <c r="DD167" s="22"/>
      <c r="DE167" s="22"/>
    </row>
    <row r="168" spans="1:109" customFormat="1" ht="33.75" x14ac:dyDescent="0.25">
      <c r="A168" s="23">
        <f>IF(J168&lt;&gt;"",COUNTA(J$1:J168),"")</f>
        <v>140</v>
      </c>
      <c r="B168" s="24" t="s">
        <v>372</v>
      </c>
      <c r="C168" s="25" t="s">
        <v>373</v>
      </c>
      <c r="D168" s="26" t="s">
        <v>238</v>
      </c>
      <c r="E168" s="40">
        <v>0.75838099999999997</v>
      </c>
      <c r="F168" s="29">
        <v>11100.49</v>
      </c>
      <c r="G168" s="29">
        <v>8418.41</v>
      </c>
      <c r="H168" s="30"/>
      <c r="J168" s="1" t="s">
        <v>32</v>
      </c>
      <c r="DD168" s="22"/>
      <c r="DE168" s="22"/>
    </row>
    <row r="169" spans="1:109" customFormat="1" ht="22.5" x14ac:dyDescent="0.25">
      <c r="A169" s="23">
        <f>IF(J169&lt;&gt;"",COUNTA(J$1:J169),"")</f>
        <v>141</v>
      </c>
      <c r="B169" s="24" t="s">
        <v>374</v>
      </c>
      <c r="C169" s="25" t="s">
        <v>375</v>
      </c>
      <c r="D169" s="26" t="s">
        <v>238</v>
      </c>
      <c r="E169" s="31">
        <v>1.8604000000000001</v>
      </c>
      <c r="F169" s="29">
        <v>13000</v>
      </c>
      <c r="G169" s="29">
        <v>24185.200000000001</v>
      </c>
      <c r="H169" s="30"/>
      <c r="J169" s="1" t="s">
        <v>32</v>
      </c>
      <c r="DD169" s="22"/>
      <c r="DE169" s="22"/>
    </row>
    <row r="170" spans="1:109" customFormat="1" ht="22.5" x14ac:dyDescent="0.25">
      <c r="A170" s="23">
        <f>IF(J170&lt;&gt;"",COUNTA(J$1:J170),"")</f>
        <v>142</v>
      </c>
      <c r="B170" s="24" t="s">
        <v>376</v>
      </c>
      <c r="C170" s="25" t="s">
        <v>377</v>
      </c>
      <c r="D170" s="26" t="s">
        <v>238</v>
      </c>
      <c r="E170" s="40">
        <v>1.750508</v>
      </c>
      <c r="F170" s="29">
        <v>13000</v>
      </c>
      <c r="G170" s="29">
        <v>22756.6</v>
      </c>
      <c r="H170" s="30"/>
      <c r="J170" s="1" t="s">
        <v>32</v>
      </c>
      <c r="DD170" s="22"/>
      <c r="DE170" s="22"/>
    </row>
    <row r="171" spans="1:109" customFormat="1" ht="15" x14ac:dyDescent="0.25">
      <c r="A171" s="23">
        <f>IF(J171&lt;&gt;"",COUNTA(J$1:J171),"")</f>
        <v>143</v>
      </c>
      <c r="B171" s="24" t="s">
        <v>378</v>
      </c>
      <c r="C171" s="25" t="s">
        <v>379</v>
      </c>
      <c r="D171" s="26" t="s">
        <v>259</v>
      </c>
      <c r="E171" s="33">
        <v>172.81200000000001</v>
      </c>
      <c r="F171" s="29">
        <v>1241.04</v>
      </c>
      <c r="G171" s="29">
        <v>214466.61</v>
      </c>
      <c r="H171" s="30"/>
      <c r="J171" s="1" t="s">
        <v>32</v>
      </c>
      <c r="DD171" s="22"/>
      <c r="DE171" s="22"/>
    </row>
    <row r="172" spans="1:109" customFormat="1" ht="15" x14ac:dyDescent="0.25">
      <c r="A172" s="23">
        <f>IF(J172&lt;&gt;"",COUNTA(J$1:J172),"")</f>
        <v>144</v>
      </c>
      <c r="B172" s="24" t="s">
        <v>380</v>
      </c>
      <c r="C172" s="25" t="s">
        <v>381</v>
      </c>
      <c r="D172" s="26" t="s">
        <v>259</v>
      </c>
      <c r="E172" s="32">
        <v>16.100000000000001</v>
      </c>
      <c r="F172" s="28">
        <v>182</v>
      </c>
      <c r="G172" s="29">
        <v>2930.2</v>
      </c>
      <c r="H172" s="30"/>
      <c r="J172" s="1" t="s">
        <v>32</v>
      </c>
      <c r="DD172" s="22"/>
      <c r="DE172" s="22"/>
    </row>
    <row r="173" spans="1:109" customFormat="1" ht="15" x14ac:dyDescent="0.25">
      <c r="A173" s="23">
        <f>IF(J173&lt;&gt;"",COUNTA(J$1:J173),"")</f>
        <v>145</v>
      </c>
      <c r="B173" s="24" t="s">
        <v>382</v>
      </c>
      <c r="C173" s="25" t="s">
        <v>383</v>
      </c>
      <c r="D173" s="26" t="s">
        <v>259</v>
      </c>
      <c r="E173" s="32">
        <v>146.4</v>
      </c>
      <c r="F173" s="28">
        <v>27.88</v>
      </c>
      <c r="G173" s="29">
        <v>4081.63</v>
      </c>
      <c r="H173" s="30"/>
      <c r="J173" s="1" t="s">
        <v>32</v>
      </c>
      <c r="DD173" s="22"/>
      <c r="DE173" s="22"/>
    </row>
    <row r="174" spans="1:109" customFormat="1" ht="15" x14ac:dyDescent="0.25">
      <c r="A174" s="23">
        <f>IF(J174&lt;&gt;"",COUNTA(J$1:J174),"")</f>
        <v>146</v>
      </c>
      <c r="B174" s="24" t="s">
        <v>384</v>
      </c>
      <c r="C174" s="25" t="s">
        <v>385</v>
      </c>
      <c r="D174" s="26" t="s">
        <v>238</v>
      </c>
      <c r="E174" s="27">
        <v>4.08</v>
      </c>
      <c r="F174" s="29">
        <v>2352.8200000000002</v>
      </c>
      <c r="G174" s="29">
        <v>9599.51</v>
      </c>
      <c r="H174" s="30"/>
      <c r="J174" s="1" t="s">
        <v>32</v>
      </c>
      <c r="DD174" s="22"/>
      <c r="DE174" s="22"/>
    </row>
    <row r="175" spans="1:109" customFormat="1" ht="15" x14ac:dyDescent="0.25">
      <c r="A175" s="23">
        <f>IF(J175&lt;&gt;"",COUNTA(J$1:J175),"")</f>
        <v>147</v>
      </c>
      <c r="B175" s="24" t="s">
        <v>386</v>
      </c>
      <c r="C175" s="25" t="s">
        <v>387</v>
      </c>
      <c r="D175" s="26" t="s">
        <v>238</v>
      </c>
      <c r="E175" s="31">
        <v>24.412500000000001</v>
      </c>
      <c r="F175" s="29">
        <v>6973.84</v>
      </c>
      <c r="G175" s="29">
        <v>170248.87</v>
      </c>
      <c r="H175" s="30"/>
      <c r="J175" s="1" t="s">
        <v>32</v>
      </c>
      <c r="DD175" s="22"/>
      <c r="DE175" s="22"/>
    </row>
    <row r="176" spans="1:109" customFormat="1" ht="22.5" x14ac:dyDescent="0.25">
      <c r="A176" s="23">
        <f>IF(J176&lt;&gt;"",COUNTA(J$1:J176),"")</f>
        <v>148</v>
      </c>
      <c r="B176" s="24" t="s">
        <v>388</v>
      </c>
      <c r="C176" s="25" t="s">
        <v>389</v>
      </c>
      <c r="D176" s="26" t="s">
        <v>238</v>
      </c>
      <c r="E176" s="27">
        <v>8.32</v>
      </c>
      <c r="F176" s="29">
        <v>11792</v>
      </c>
      <c r="G176" s="29">
        <v>98109.440000000002</v>
      </c>
      <c r="H176" s="30"/>
      <c r="J176" s="1" t="s">
        <v>32</v>
      </c>
      <c r="DD176" s="22"/>
      <c r="DE176" s="22"/>
    </row>
    <row r="177" spans="1:109" customFormat="1" ht="15" x14ac:dyDescent="0.25">
      <c r="A177" s="23">
        <f>IF(J177&lt;&gt;"",COUNTA(J$1:J177),"")</f>
        <v>149</v>
      </c>
      <c r="B177" s="24" t="s">
        <v>390</v>
      </c>
      <c r="C177" s="25" t="s">
        <v>391</v>
      </c>
      <c r="D177" s="26" t="s">
        <v>243</v>
      </c>
      <c r="E177" s="33">
        <v>295.27499999999998</v>
      </c>
      <c r="F177" s="28">
        <v>241.71</v>
      </c>
      <c r="G177" s="29">
        <v>71370.92</v>
      </c>
      <c r="H177" s="30"/>
      <c r="J177" s="1" t="s">
        <v>32</v>
      </c>
      <c r="DD177" s="22"/>
      <c r="DE177" s="22"/>
    </row>
    <row r="178" spans="1:109" customFormat="1" ht="33.75" x14ac:dyDescent="0.25">
      <c r="A178" s="23">
        <f>IF(J178&lt;&gt;"",COUNTA(J$1:J178),"")</f>
        <v>150</v>
      </c>
      <c r="B178" s="24" t="s">
        <v>392</v>
      </c>
      <c r="C178" s="25" t="s">
        <v>393</v>
      </c>
      <c r="D178" s="26" t="s">
        <v>243</v>
      </c>
      <c r="E178" s="34">
        <v>160</v>
      </c>
      <c r="F178" s="28">
        <v>143.19</v>
      </c>
      <c r="G178" s="29">
        <v>22910.400000000001</v>
      </c>
      <c r="H178" s="30"/>
      <c r="J178" s="1" t="s">
        <v>32</v>
      </c>
      <c r="DD178" s="22"/>
      <c r="DE178" s="22"/>
    </row>
    <row r="179" spans="1:109" customFormat="1" ht="22.5" x14ac:dyDescent="0.25">
      <c r="A179" s="23">
        <f>IF(J179&lt;&gt;"",COUNTA(J$1:J179),"")</f>
        <v>151</v>
      </c>
      <c r="B179" s="24" t="s">
        <v>394</v>
      </c>
      <c r="C179" s="25" t="s">
        <v>395</v>
      </c>
      <c r="D179" s="26" t="s">
        <v>243</v>
      </c>
      <c r="E179" s="32">
        <v>43.8</v>
      </c>
      <c r="F179" s="29">
        <v>1285.8399999999999</v>
      </c>
      <c r="G179" s="29">
        <v>56319.79</v>
      </c>
      <c r="H179" s="30"/>
      <c r="J179" s="1" t="s">
        <v>32</v>
      </c>
      <c r="DD179" s="22"/>
      <c r="DE179" s="22"/>
    </row>
    <row r="180" spans="1:109" customFormat="1" ht="33.75" x14ac:dyDescent="0.25">
      <c r="A180" s="23">
        <f>IF(J180&lt;&gt;"",COUNTA(J$1:J180),"")</f>
        <v>152</v>
      </c>
      <c r="B180" s="24" t="s">
        <v>396</v>
      </c>
      <c r="C180" s="25" t="s">
        <v>397</v>
      </c>
      <c r="D180" s="26" t="s">
        <v>243</v>
      </c>
      <c r="E180" s="32">
        <v>28.8</v>
      </c>
      <c r="F180" s="28">
        <v>64.069999999999993</v>
      </c>
      <c r="G180" s="29">
        <v>1845.22</v>
      </c>
      <c r="H180" s="30"/>
      <c r="J180" s="1" t="s">
        <v>32</v>
      </c>
      <c r="DD180" s="22"/>
      <c r="DE180" s="22"/>
    </row>
    <row r="181" spans="1:109" customFormat="1" ht="15" x14ac:dyDescent="0.25">
      <c r="A181" s="23">
        <f>IF(J181&lt;&gt;"",COUNTA(J$1:J181),"")</f>
        <v>153</v>
      </c>
      <c r="B181" s="24" t="s">
        <v>398</v>
      </c>
      <c r="C181" s="25" t="s">
        <v>399</v>
      </c>
      <c r="D181" s="26" t="s">
        <v>231</v>
      </c>
      <c r="E181" s="27">
        <v>0.04</v>
      </c>
      <c r="F181" s="29">
        <v>77531.990000000005</v>
      </c>
      <c r="G181" s="29">
        <v>3101.28</v>
      </c>
      <c r="H181" s="30"/>
      <c r="J181" s="1" t="s">
        <v>32</v>
      </c>
      <c r="DD181" s="22"/>
      <c r="DE181" s="22"/>
    </row>
    <row r="182" spans="1:109" customFormat="1" ht="15" x14ac:dyDescent="0.25">
      <c r="A182" s="23">
        <f>IF(J182&lt;&gt;"",COUNTA(J$1:J182),"")</f>
        <v>154</v>
      </c>
      <c r="B182" s="24" t="s">
        <v>400</v>
      </c>
      <c r="C182" s="25" t="s">
        <v>401</v>
      </c>
      <c r="D182" s="26" t="s">
        <v>231</v>
      </c>
      <c r="E182" s="40">
        <v>1.36E-4</v>
      </c>
      <c r="F182" s="29">
        <v>74266.67</v>
      </c>
      <c r="G182" s="28">
        <v>10.11</v>
      </c>
      <c r="H182" s="30"/>
      <c r="J182" s="1" t="s">
        <v>32</v>
      </c>
      <c r="DD182" s="22"/>
      <c r="DE182" s="22"/>
    </row>
    <row r="183" spans="1:109" customFormat="1" ht="22.5" x14ac:dyDescent="0.25">
      <c r="A183" s="23">
        <f>IF(J183&lt;&gt;"",COUNTA(J$1:J183),"")</f>
        <v>155</v>
      </c>
      <c r="B183" s="24" t="s">
        <v>402</v>
      </c>
      <c r="C183" s="25" t="s">
        <v>403</v>
      </c>
      <c r="D183" s="26" t="s">
        <v>243</v>
      </c>
      <c r="E183" s="32">
        <v>36.5</v>
      </c>
      <c r="F183" s="28">
        <v>550.34</v>
      </c>
      <c r="G183" s="29">
        <v>20087.41</v>
      </c>
      <c r="H183" s="30"/>
      <c r="J183" s="1" t="s">
        <v>32</v>
      </c>
      <c r="DD183" s="22"/>
      <c r="DE183" s="22"/>
    </row>
    <row r="184" spans="1:109" customFormat="1" ht="15" x14ac:dyDescent="0.25">
      <c r="A184" s="23">
        <f>IF(J184&lt;&gt;"",COUNTA(J$1:J184),"")</f>
        <v>156</v>
      </c>
      <c r="B184" s="24" t="s">
        <v>404</v>
      </c>
      <c r="C184" s="25" t="s">
        <v>405</v>
      </c>
      <c r="D184" s="26" t="s">
        <v>243</v>
      </c>
      <c r="E184" s="40">
        <v>49.007711999999998</v>
      </c>
      <c r="F184" s="28">
        <v>737.25</v>
      </c>
      <c r="G184" s="29">
        <v>36130.94</v>
      </c>
      <c r="H184" s="30"/>
      <c r="J184" s="1" t="s">
        <v>32</v>
      </c>
      <c r="DD184" s="22"/>
      <c r="DE184" s="22"/>
    </row>
    <row r="185" spans="1:109" customFormat="1" ht="15" x14ac:dyDescent="0.25">
      <c r="A185" s="23">
        <f>IF(J185&lt;&gt;"",COUNTA(J$1:J185),"")</f>
        <v>157</v>
      </c>
      <c r="B185" s="24" t="s">
        <v>406</v>
      </c>
      <c r="C185" s="25" t="s">
        <v>407</v>
      </c>
      <c r="D185" s="26" t="s">
        <v>243</v>
      </c>
      <c r="E185" s="34">
        <v>468</v>
      </c>
      <c r="F185" s="28">
        <v>729.07</v>
      </c>
      <c r="G185" s="29">
        <v>341204.76</v>
      </c>
      <c r="H185" s="30"/>
      <c r="J185" s="1" t="s">
        <v>32</v>
      </c>
      <c r="DD185" s="22"/>
      <c r="DE185" s="22"/>
    </row>
    <row r="186" spans="1:109" customFormat="1" ht="15" x14ac:dyDescent="0.25">
      <c r="A186" s="23">
        <f>IF(J186&lt;&gt;"",COUNTA(J$1:J186),"")</f>
        <v>158</v>
      </c>
      <c r="B186" s="24" t="s">
        <v>408</v>
      </c>
      <c r="C186" s="25" t="s">
        <v>409</v>
      </c>
      <c r="D186" s="26" t="s">
        <v>243</v>
      </c>
      <c r="E186" s="31">
        <v>1.8368</v>
      </c>
      <c r="F186" s="28">
        <v>41.69</v>
      </c>
      <c r="G186" s="28">
        <v>76.58</v>
      </c>
      <c r="H186" s="30"/>
      <c r="J186" s="1" t="s">
        <v>32</v>
      </c>
      <c r="DD186" s="22"/>
      <c r="DE186" s="22"/>
    </row>
    <row r="187" spans="1:109" customFormat="1" ht="22.5" x14ac:dyDescent="0.25">
      <c r="A187" s="23">
        <f>IF(J187&lt;&gt;"",COUNTA(J$1:J187),"")</f>
        <v>159</v>
      </c>
      <c r="B187" s="24" t="s">
        <v>410</v>
      </c>
      <c r="C187" s="25" t="s">
        <v>411</v>
      </c>
      <c r="D187" s="26" t="s">
        <v>243</v>
      </c>
      <c r="E187" s="40">
        <v>135.129696</v>
      </c>
      <c r="F187" s="28">
        <v>805.51</v>
      </c>
      <c r="G187" s="29">
        <v>108848.33</v>
      </c>
      <c r="H187" s="30"/>
      <c r="J187" s="1" t="s">
        <v>32</v>
      </c>
      <c r="DD187" s="22"/>
      <c r="DE187" s="22"/>
    </row>
    <row r="188" spans="1:109" customFormat="1" ht="33.75" x14ac:dyDescent="0.25">
      <c r="A188" s="23">
        <f>IF(J188&lt;&gt;"",COUNTA(J$1:J188),"")</f>
        <v>160</v>
      </c>
      <c r="B188" s="24" t="s">
        <v>412</v>
      </c>
      <c r="C188" s="25" t="s">
        <v>413</v>
      </c>
      <c r="D188" s="26" t="s">
        <v>231</v>
      </c>
      <c r="E188" s="40">
        <v>4.5719999999999997E-3</v>
      </c>
      <c r="F188" s="29">
        <v>369890.32</v>
      </c>
      <c r="G188" s="29">
        <v>1691.14</v>
      </c>
      <c r="H188" s="30"/>
      <c r="J188" s="1" t="s">
        <v>32</v>
      </c>
      <c r="DD188" s="22"/>
      <c r="DE188" s="22"/>
    </row>
    <row r="189" spans="1:109" customFormat="1" ht="15" x14ac:dyDescent="0.25">
      <c r="A189" s="23">
        <f>IF(J189&lt;&gt;"",COUNTA(J$1:J189),"")</f>
        <v>161</v>
      </c>
      <c r="B189" s="24" t="s">
        <v>414</v>
      </c>
      <c r="C189" s="25" t="s">
        <v>415</v>
      </c>
      <c r="D189" s="26" t="s">
        <v>231</v>
      </c>
      <c r="E189" s="40">
        <v>1.7808000000000001E-2</v>
      </c>
      <c r="F189" s="29">
        <v>47180.4</v>
      </c>
      <c r="G189" s="28">
        <v>840.18</v>
      </c>
      <c r="H189" s="30"/>
      <c r="J189" s="1" t="s">
        <v>32</v>
      </c>
      <c r="DD189" s="22"/>
      <c r="DE189" s="22"/>
    </row>
    <row r="190" spans="1:109" customFormat="1" ht="15" x14ac:dyDescent="0.25">
      <c r="A190" s="23">
        <f>IF(J190&lt;&gt;"",COUNTA(J$1:J190),"")</f>
        <v>162</v>
      </c>
      <c r="B190" s="24" t="s">
        <v>416</v>
      </c>
      <c r="C190" s="25" t="s">
        <v>417</v>
      </c>
      <c r="D190" s="26" t="s">
        <v>231</v>
      </c>
      <c r="E190" s="40">
        <v>8.2200000000000003E-4</v>
      </c>
      <c r="F190" s="29">
        <v>95083.33</v>
      </c>
      <c r="G190" s="28">
        <v>78.16</v>
      </c>
      <c r="H190" s="30"/>
      <c r="J190" s="1" t="s">
        <v>32</v>
      </c>
      <c r="DD190" s="22"/>
      <c r="DE190" s="22"/>
    </row>
    <row r="191" spans="1:109" customFormat="1" ht="15" x14ac:dyDescent="0.25">
      <c r="A191" s="23">
        <f>IF(J191&lt;&gt;"",COUNTA(J$1:J191),"")</f>
        <v>163</v>
      </c>
      <c r="B191" s="24" t="s">
        <v>418</v>
      </c>
      <c r="C191" s="25" t="s">
        <v>419</v>
      </c>
      <c r="D191" s="26" t="s">
        <v>231</v>
      </c>
      <c r="E191" s="31">
        <v>0.14849999999999999</v>
      </c>
      <c r="F191" s="29">
        <v>70583.33</v>
      </c>
      <c r="G191" s="29">
        <v>10481.620000000001</v>
      </c>
      <c r="H191" s="30"/>
      <c r="J191" s="1" t="s">
        <v>32</v>
      </c>
      <c r="DD191" s="22"/>
      <c r="DE191" s="22"/>
    </row>
    <row r="192" spans="1:109" customFormat="1" ht="15" x14ac:dyDescent="0.25">
      <c r="A192" s="23">
        <f>IF(J192&lt;&gt;"",COUNTA(J$1:J192),"")</f>
        <v>164</v>
      </c>
      <c r="B192" s="24" t="s">
        <v>420</v>
      </c>
      <c r="C192" s="25" t="s">
        <v>421</v>
      </c>
      <c r="D192" s="26" t="s">
        <v>243</v>
      </c>
      <c r="E192" s="40">
        <v>41.724538000000003</v>
      </c>
      <c r="F192" s="28">
        <v>107.13</v>
      </c>
      <c r="G192" s="29">
        <v>4469.95</v>
      </c>
      <c r="H192" s="30"/>
      <c r="J192" s="1" t="s">
        <v>32</v>
      </c>
      <c r="DD192" s="22"/>
      <c r="DE192" s="22"/>
    </row>
    <row r="193" spans="1:109" customFormat="1" ht="15" x14ac:dyDescent="0.25">
      <c r="A193" s="23">
        <f>IF(J193&lt;&gt;"",COUNTA(J$1:J193),"")</f>
        <v>165</v>
      </c>
      <c r="B193" s="24" t="s">
        <v>422</v>
      </c>
      <c r="C193" s="25" t="s">
        <v>423</v>
      </c>
      <c r="D193" s="26" t="s">
        <v>231</v>
      </c>
      <c r="E193" s="40">
        <v>2.8247999999999999E-2</v>
      </c>
      <c r="F193" s="29">
        <v>119083.33</v>
      </c>
      <c r="G193" s="29">
        <v>3363.87</v>
      </c>
      <c r="H193" s="30"/>
      <c r="J193" s="1" t="s">
        <v>32</v>
      </c>
      <c r="DD193" s="22"/>
      <c r="DE193" s="22"/>
    </row>
    <row r="194" spans="1:109" customFormat="1" ht="15" x14ac:dyDescent="0.25">
      <c r="A194" s="23">
        <f>IF(J194&lt;&gt;"",COUNTA(J$1:J194),"")</f>
        <v>166</v>
      </c>
      <c r="B194" s="24" t="s">
        <v>424</v>
      </c>
      <c r="C194" s="25" t="s">
        <v>425</v>
      </c>
      <c r="D194" s="26" t="s">
        <v>243</v>
      </c>
      <c r="E194" s="33">
        <v>24.486000000000001</v>
      </c>
      <c r="F194" s="28">
        <v>65.459999999999994</v>
      </c>
      <c r="G194" s="29">
        <v>1602.85</v>
      </c>
      <c r="H194" s="30"/>
      <c r="J194" s="1" t="s">
        <v>32</v>
      </c>
      <c r="DD194" s="22"/>
      <c r="DE194" s="22"/>
    </row>
    <row r="195" spans="1:109" customFormat="1" ht="15" x14ac:dyDescent="0.25">
      <c r="A195" s="23">
        <f>IF(J195&lt;&gt;"",COUNTA(J$1:J195),"")</f>
        <v>167</v>
      </c>
      <c r="B195" s="24" t="s">
        <v>426</v>
      </c>
      <c r="C195" s="25" t="s">
        <v>347</v>
      </c>
      <c r="D195" s="26" t="s">
        <v>231</v>
      </c>
      <c r="E195" s="39">
        <v>2.5780799999999999</v>
      </c>
      <c r="F195" s="29">
        <v>135416.67000000001</v>
      </c>
      <c r="G195" s="29">
        <v>349115.01</v>
      </c>
      <c r="H195" s="30"/>
      <c r="J195" s="1" t="s">
        <v>32</v>
      </c>
      <c r="DD195" s="22"/>
      <c r="DE195" s="22"/>
    </row>
    <row r="196" spans="1:109" customFormat="1" ht="15" x14ac:dyDescent="0.25">
      <c r="A196" s="23">
        <f>IF(J196&lt;&gt;"",COUNTA(J$1:J196),"")</f>
        <v>168</v>
      </c>
      <c r="B196" s="24" t="s">
        <v>427</v>
      </c>
      <c r="C196" s="25" t="s">
        <v>428</v>
      </c>
      <c r="D196" s="26" t="s">
        <v>231</v>
      </c>
      <c r="E196" s="33">
        <v>1.9E-2</v>
      </c>
      <c r="F196" s="29">
        <v>60170</v>
      </c>
      <c r="G196" s="29">
        <v>1143.23</v>
      </c>
      <c r="H196" s="30"/>
      <c r="J196" s="1" t="s">
        <v>32</v>
      </c>
      <c r="DD196" s="22"/>
      <c r="DE196" s="22"/>
    </row>
    <row r="197" spans="1:109" customFormat="1" ht="22.5" x14ac:dyDescent="0.25">
      <c r="A197" s="23">
        <f>IF(J197&lt;&gt;"",COUNTA(J$1:J197),"")</f>
        <v>169</v>
      </c>
      <c r="B197" s="24" t="s">
        <v>429</v>
      </c>
      <c r="C197" s="25" t="s">
        <v>430</v>
      </c>
      <c r="D197" s="26" t="s">
        <v>243</v>
      </c>
      <c r="E197" s="27">
        <v>1234.3499999999999</v>
      </c>
      <c r="F197" s="29">
        <v>1161.05</v>
      </c>
      <c r="G197" s="29">
        <v>1433142.07</v>
      </c>
      <c r="H197" s="30"/>
      <c r="J197" s="1" t="s">
        <v>32</v>
      </c>
      <c r="DD197" s="22"/>
      <c r="DE197" s="22"/>
    </row>
    <row r="198" spans="1:109" customFormat="1" ht="22.5" x14ac:dyDescent="0.25">
      <c r="A198" s="23">
        <f>IF(J198&lt;&gt;"",COUNTA(J$1:J198),"")</f>
        <v>170</v>
      </c>
      <c r="B198" s="24" t="s">
        <v>431</v>
      </c>
      <c r="C198" s="25" t="s">
        <v>432</v>
      </c>
      <c r="D198" s="26" t="s">
        <v>231</v>
      </c>
      <c r="E198" s="31">
        <v>4.48E-2</v>
      </c>
      <c r="F198" s="29">
        <v>10013.61</v>
      </c>
      <c r="G198" s="28">
        <v>448.61</v>
      </c>
      <c r="H198" s="30"/>
      <c r="J198" s="1" t="s">
        <v>32</v>
      </c>
      <c r="DD198" s="22"/>
      <c r="DE198" s="22"/>
    </row>
    <row r="199" spans="1:109" customFormat="1" ht="22.5" x14ac:dyDescent="0.25">
      <c r="A199" s="23">
        <f>IF(J199&lt;&gt;"",COUNTA(J$1:J199),"")</f>
        <v>171</v>
      </c>
      <c r="B199" s="24" t="s">
        <v>433</v>
      </c>
      <c r="C199" s="25" t="s">
        <v>432</v>
      </c>
      <c r="D199" s="26" t="s">
        <v>231</v>
      </c>
      <c r="E199" s="39">
        <v>2.6315300000000001</v>
      </c>
      <c r="F199" s="29">
        <v>10386.459999999999</v>
      </c>
      <c r="G199" s="29">
        <v>27332.27</v>
      </c>
      <c r="H199" s="30"/>
      <c r="J199" s="1" t="s">
        <v>32</v>
      </c>
      <c r="DD199" s="22"/>
      <c r="DE199" s="22"/>
    </row>
    <row r="200" spans="1:109" customFormat="1" ht="22.5" x14ac:dyDescent="0.25">
      <c r="A200" s="23">
        <f>IF(J200&lt;&gt;"",COUNTA(J$1:J200),"")</f>
        <v>172</v>
      </c>
      <c r="B200" s="24" t="s">
        <v>434</v>
      </c>
      <c r="C200" s="25" t="s">
        <v>435</v>
      </c>
      <c r="D200" s="26" t="s">
        <v>231</v>
      </c>
      <c r="E200" s="31">
        <v>0.18790000000000001</v>
      </c>
      <c r="F200" s="29">
        <v>19107.29</v>
      </c>
      <c r="G200" s="29">
        <v>3590.27</v>
      </c>
      <c r="H200" s="30"/>
      <c r="J200" s="1" t="s">
        <v>32</v>
      </c>
      <c r="DD200" s="22"/>
      <c r="DE200" s="22"/>
    </row>
    <row r="201" spans="1:109" customFormat="1" ht="33.75" x14ac:dyDescent="0.25">
      <c r="A201" s="23">
        <f>IF(J201&lt;&gt;"",COUNTA(J$1:J201),"")</f>
        <v>173</v>
      </c>
      <c r="B201" s="24" t="s">
        <v>436</v>
      </c>
      <c r="C201" s="25" t="s">
        <v>437</v>
      </c>
      <c r="D201" s="26" t="s">
        <v>238</v>
      </c>
      <c r="E201" s="39">
        <v>593.34375</v>
      </c>
      <c r="F201" s="28">
        <v>302.5</v>
      </c>
      <c r="G201" s="29">
        <v>179486.49</v>
      </c>
      <c r="H201" s="30"/>
      <c r="J201" s="1" t="s">
        <v>32</v>
      </c>
      <c r="DD201" s="22"/>
      <c r="DE201" s="22"/>
    </row>
    <row r="202" spans="1:109" customFormat="1" ht="33.75" x14ac:dyDescent="0.25">
      <c r="A202" s="23">
        <f>IF(J202&lt;&gt;"",COUNTA(J$1:J202),"")</f>
        <v>174</v>
      </c>
      <c r="B202" s="24" t="s">
        <v>438</v>
      </c>
      <c r="C202" s="25" t="s">
        <v>439</v>
      </c>
      <c r="D202" s="26" t="s">
        <v>238</v>
      </c>
      <c r="E202" s="27">
        <v>166.75</v>
      </c>
      <c r="F202" s="28">
        <v>577.27</v>
      </c>
      <c r="G202" s="29">
        <v>96259.77</v>
      </c>
      <c r="H202" s="30"/>
      <c r="J202" s="1" t="s">
        <v>32</v>
      </c>
      <c r="DD202" s="22"/>
      <c r="DE202" s="22"/>
    </row>
    <row r="203" spans="1:109" customFormat="1" ht="33.75" x14ac:dyDescent="0.25">
      <c r="A203" s="23">
        <f>IF(J203&lt;&gt;"",COUNTA(J$1:J203),"")</f>
        <v>175</v>
      </c>
      <c r="B203" s="24" t="s">
        <v>440</v>
      </c>
      <c r="C203" s="25" t="s">
        <v>441</v>
      </c>
      <c r="D203" s="26" t="s">
        <v>238</v>
      </c>
      <c r="E203" s="40">
        <v>2.7533999999999999E-2</v>
      </c>
      <c r="F203" s="29">
        <v>1602.14</v>
      </c>
      <c r="G203" s="28">
        <v>44.11</v>
      </c>
      <c r="H203" s="30"/>
      <c r="J203" s="1" t="s">
        <v>32</v>
      </c>
      <c r="DD203" s="22"/>
      <c r="DE203" s="22"/>
    </row>
    <row r="204" spans="1:109" customFormat="1" ht="15" x14ac:dyDescent="0.25">
      <c r="A204" s="26"/>
      <c r="B204" s="24"/>
      <c r="C204" s="37" t="s">
        <v>442</v>
      </c>
      <c r="D204" s="23" t="s">
        <v>85</v>
      </c>
      <c r="E204" s="23"/>
      <c r="F204" s="36"/>
      <c r="G204" s="38">
        <v>11415570.1</v>
      </c>
      <c r="H204" s="30"/>
      <c r="DD204" s="22"/>
      <c r="DE204" s="22"/>
    </row>
    <row r="205" spans="1:109" customFormat="1" ht="15" x14ac:dyDescent="0.25">
      <c r="A205" s="65" t="s">
        <v>443</v>
      </c>
      <c r="B205" s="65"/>
      <c r="C205" s="65"/>
      <c r="D205" s="65"/>
      <c r="E205" s="65"/>
      <c r="F205" s="65"/>
      <c r="G205" s="65"/>
      <c r="H205" s="21"/>
      <c r="DD205" s="22"/>
      <c r="DE205" s="22" t="s">
        <v>443</v>
      </c>
    </row>
    <row r="206" spans="1:109" customFormat="1" ht="45" x14ac:dyDescent="0.25">
      <c r="A206" s="23">
        <f>IF(J206&lt;&gt;"",COUNTA(J$1:J206),"")</f>
        <v>176</v>
      </c>
      <c r="B206" s="24" t="s">
        <v>444</v>
      </c>
      <c r="C206" s="25" t="s">
        <v>445</v>
      </c>
      <c r="D206" s="26" t="s">
        <v>446</v>
      </c>
      <c r="E206" s="27">
        <v>1474.59</v>
      </c>
      <c r="F206" s="28">
        <v>497.61</v>
      </c>
      <c r="G206" s="29">
        <v>733770.73</v>
      </c>
      <c r="H206" s="30"/>
      <c r="J206" s="1" t="s">
        <v>32</v>
      </c>
      <c r="DD206" s="22"/>
      <c r="DE206" s="22"/>
    </row>
    <row r="207" spans="1:109" customFormat="1" ht="45" x14ac:dyDescent="0.25">
      <c r="A207" s="23">
        <f>IF(J207&lt;&gt;"",COUNTA(J$1:J207),"")</f>
        <v>177</v>
      </c>
      <c r="B207" s="24" t="s">
        <v>447</v>
      </c>
      <c r="C207" s="25" t="s">
        <v>448</v>
      </c>
      <c r="D207" s="26" t="s">
        <v>446</v>
      </c>
      <c r="E207" s="33">
        <v>24.192</v>
      </c>
      <c r="F207" s="28">
        <v>497.61</v>
      </c>
      <c r="G207" s="29">
        <v>12038.18</v>
      </c>
      <c r="H207" s="30"/>
      <c r="J207" s="1" t="s">
        <v>32</v>
      </c>
      <c r="DD207" s="22"/>
      <c r="DE207" s="22"/>
    </row>
    <row r="208" spans="1:109" customFormat="1" ht="33.75" x14ac:dyDescent="0.25">
      <c r="A208" s="23">
        <f>IF(J208&lt;&gt;"",COUNTA(J$1:J208),"")</f>
        <v>178</v>
      </c>
      <c r="B208" s="24" t="s">
        <v>449</v>
      </c>
      <c r="C208" s="25" t="s">
        <v>450</v>
      </c>
      <c r="D208" s="26" t="s">
        <v>446</v>
      </c>
      <c r="E208" s="27">
        <v>949.35</v>
      </c>
      <c r="F208" s="28">
        <v>497.61</v>
      </c>
      <c r="G208" s="29">
        <v>472406.05</v>
      </c>
      <c r="H208" s="30"/>
      <c r="J208" s="1" t="s">
        <v>32</v>
      </c>
      <c r="DD208" s="22"/>
      <c r="DE208" s="22"/>
    </row>
    <row r="209" spans="1:110" customFormat="1" ht="33.75" x14ac:dyDescent="0.25">
      <c r="A209" s="23">
        <f>IF(J209&lt;&gt;"",COUNTA(J$1:J209),"")</f>
        <v>179</v>
      </c>
      <c r="B209" s="24" t="s">
        <v>451</v>
      </c>
      <c r="C209" s="25" t="s">
        <v>452</v>
      </c>
      <c r="D209" s="26" t="s">
        <v>446</v>
      </c>
      <c r="E209" s="33">
        <v>250.125</v>
      </c>
      <c r="F209" s="28">
        <v>497.61</v>
      </c>
      <c r="G209" s="29">
        <v>124464.7</v>
      </c>
      <c r="H209" s="30"/>
      <c r="J209" s="1" t="s">
        <v>32</v>
      </c>
      <c r="DD209" s="22"/>
      <c r="DE209" s="22"/>
    </row>
    <row r="210" spans="1:110" customFormat="1" ht="15" x14ac:dyDescent="0.25">
      <c r="A210" s="65" t="s">
        <v>453</v>
      </c>
      <c r="B210" s="65"/>
      <c r="C210" s="65"/>
      <c r="D210" s="65"/>
      <c r="E210" s="65"/>
      <c r="F210" s="65"/>
      <c r="G210" s="65"/>
      <c r="H210" s="21"/>
      <c r="DD210" s="22"/>
      <c r="DE210" s="22" t="s">
        <v>453</v>
      </c>
    </row>
    <row r="211" spans="1:110" customFormat="1" ht="15" x14ac:dyDescent="0.25">
      <c r="A211" s="23">
        <f>IF(J211&lt;&gt;"",COUNTA(J$1:J211),"")</f>
        <v>180</v>
      </c>
      <c r="B211" s="24" t="s">
        <v>454</v>
      </c>
      <c r="C211" s="25" t="s">
        <v>455</v>
      </c>
      <c r="D211" s="26" t="s">
        <v>446</v>
      </c>
      <c r="E211" s="33">
        <v>24.192</v>
      </c>
      <c r="F211" s="28">
        <v>261.2</v>
      </c>
      <c r="G211" s="29">
        <v>6318.95</v>
      </c>
      <c r="H211" s="30"/>
      <c r="J211" s="1" t="s">
        <v>32</v>
      </c>
      <c r="DD211" s="22"/>
      <c r="DE211" s="22"/>
    </row>
    <row r="212" spans="1:110" customFormat="1" ht="15" x14ac:dyDescent="0.25">
      <c r="A212" s="66" t="s">
        <v>456</v>
      </c>
      <c r="B212" s="67"/>
      <c r="C212" s="67"/>
      <c r="D212" s="67"/>
      <c r="E212" s="67"/>
      <c r="F212" s="68"/>
      <c r="G212" s="38">
        <v>18434415</v>
      </c>
      <c r="H212" s="41"/>
      <c r="I212" s="41"/>
      <c r="J212" s="42"/>
      <c r="K212" s="42"/>
      <c r="L212" s="42"/>
      <c r="DF212" s="43" t="s">
        <v>456</v>
      </c>
    </row>
    <row r="213" spans="1:110" customFormat="1" ht="15" x14ac:dyDescent="0.25">
      <c r="A213" s="66" t="s">
        <v>457</v>
      </c>
      <c r="B213" s="67"/>
      <c r="C213" s="67"/>
      <c r="D213" s="67"/>
      <c r="E213" s="67"/>
      <c r="F213" s="68"/>
      <c r="G213" s="38">
        <v>3137892.32</v>
      </c>
      <c r="H213" s="41"/>
      <c r="I213" s="41"/>
      <c r="J213" s="42"/>
      <c r="K213" s="42"/>
      <c r="L213" s="42"/>
      <c r="DF213" s="43" t="s">
        <v>457</v>
      </c>
    </row>
    <row r="214" spans="1:110" customFormat="1" ht="15" x14ac:dyDescent="0.25">
      <c r="A214" s="66" t="s">
        <v>458</v>
      </c>
      <c r="B214" s="67"/>
      <c r="C214" s="67"/>
      <c r="D214" s="67"/>
      <c r="E214" s="67"/>
      <c r="F214" s="68"/>
      <c r="G214" s="38">
        <v>1762704.07</v>
      </c>
      <c r="H214" s="41"/>
      <c r="I214" s="41"/>
      <c r="J214" s="42"/>
      <c r="K214" s="42"/>
      <c r="L214" s="42"/>
      <c r="DF214" s="43" t="s">
        <v>458</v>
      </c>
    </row>
    <row r="215" spans="1:110" customFormat="1" ht="15" x14ac:dyDescent="0.25">
      <c r="A215" s="66" t="s">
        <v>459</v>
      </c>
      <c r="B215" s="67"/>
      <c r="C215" s="67"/>
      <c r="D215" s="67"/>
      <c r="E215" s="67"/>
      <c r="F215" s="68"/>
      <c r="G215" s="38">
        <v>23335011.390000001</v>
      </c>
      <c r="H215" s="41"/>
      <c r="I215" s="41"/>
      <c r="J215" s="42"/>
      <c r="K215" s="42"/>
      <c r="L215" s="42"/>
      <c r="DF215" s="43" t="s">
        <v>459</v>
      </c>
    </row>
    <row r="216" spans="1:110" customFormat="1" ht="13.5" customHeight="1" x14ac:dyDescent="0.25"/>
    <row r="217" spans="1:110" ht="15" x14ac:dyDescent="0.25">
      <c r="A217" s="44"/>
      <c r="B217" s="44" t="s">
        <v>460</v>
      </c>
      <c r="C217" s="45"/>
      <c r="D217" s="45" t="s">
        <v>461</v>
      </c>
      <c r="E217" s="45"/>
      <c r="F217" s="45"/>
      <c r="G217" s="45"/>
      <c r="H217"/>
      <c r="I217" s="46"/>
      <c r="J217" s="46"/>
      <c r="K217" s="47"/>
      <c r="L217" s="46"/>
      <c r="M217" s="46"/>
      <c r="N217" s="46"/>
      <c r="O217" s="46"/>
      <c r="P217" s="46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</row>
    <row r="218" spans="1:110" ht="15" customHeight="1" x14ac:dyDescent="0.25">
      <c r="A218" s="48"/>
      <c r="B218" s="48"/>
      <c r="C218" s="49" t="s">
        <v>462</v>
      </c>
      <c r="D218" s="50"/>
      <c r="E218" s="50"/>
      <c r="F218" s="50"/>
      <c r="G218" s="50"/>
      <c r="H218"/>
      <c r="I218" s="51"/>
      <c r="J218" s="51"/>
      <c r="K218" s="52"/>
      <c r="L218" s="51"/>
      <c r="M218" s="51"/>
      <c r="N218" s="51"/>
      <c r="O218" s="51"/>
      <c r="P218" s="51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</row>
    <row r="219" spans="1:110" ht="15" x14ac:dyDescent="0.25">
      <c r="A219" s="44"/>
      <c r="B219" s="44" t="s">
        <v>463</v>
      </c>
      <c r="C219" s="45"/>
      <c r="D219" s="45" t="s">
        <v>464</v>
      </c>
      <c r="E219" s="45"/>
      <c r="F219" s="45"/>
      <c r="G219" s="45"/>
      <c r="H219"/>
      <c r="I219" s="46"/>
      <c r="J219" s="46"/>
      <c r="K219" s="47"/>
      <c r="L219" s="46"/>
      <c r="M219" s="46"/>
      <c r="N219" s="46"/>
      <c r="O219" s="46"/>
      <c r="P219" s="46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</row>
    <row r="220" spans="1:110" ht="11.25" customHeight="1" x14ac:dyDescent="0.25">
      <c r="A220" s="53"/>
      <c r="B220" s="53"/>
      <c r="C220" s="49" t="s">
        <v>462</v>
      </c>
      <c r="D220" s="50"/>
      <c r="E220" s="50"/>
      <c r="F220" s="50"/>
      <c r="G220" s="50"/>
      <c r="H220"/>
      <c r="I220" s="51"/>
      <c r="J220" s="51"/>
      <c r="K220" s="69"/>
      <c r="L220" s="69"/>
      <c r="M220" s="69"/>
      <c r="N220" s="69"/>
      <c r="O220" s="69"/>
      <c r="P220" s="69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</row>
    <row r="221" spans="1:110" customFormat="1" ht="15" x14ac:dyDescent="0.25">
      <c r="B221" s="53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</row>
  </sheetData>
  <mergeCells count="32">
    <mergeCell ref="K220:L220"/>
    <mergeCell ref="M220:N220"/>
    <mergeCell ref="O220:P220"/>
    <mergeCell ref="A210:G210"/>
    <mergeCell ref="A212:F212"/>
    <mergeCell ref="A213:F213"/>
    <mergeCell ref="A214:F214"/>
    <mergeCell ref="A215:F215"/>
    <mergeCell ref="A23:G23"/>
    <mergeCell ref="A24:G24"/>
    <mergeCell ref="A53:G53"/>
    <mergeCell ref="A100:G100"/>
    <mergeCell ref="A205:G205"/>
    <mergeCell ref="F17:G17"/>
    <mergeCell ref="F18:G18"/>
    <mergeCell ref="A20:A21"/>
    <mergeCell ref="B20:B21"/>
    <mergeCell ref="C20:C21"/>
    <mergeCell ref="D20:D21"/>
    <mergeCell ref="E20:E21"/>
    <mergeCell ref="F20:G20"/>
    <mergeCell ref="C11:D11"/>
    <mergeCell ref="C12:D12"/>
    <mergeCell ref="F14:G14"/>
    <mergeCell ref="F15:G15"/>
    <mergeCell ref="F16:G16"/>
    <mergeCell ref="A1:B1"/>
    <mergeCell ref="C1:E1"/>
    <mergeCell ref="A7:B7"/>
    <mergeCell ref="C7:G7"/>
    <mergeCell ref="A8:B8"/>
    <mergeCell ref="C8:G8"/>
  </mergeCells>
  <printOptions horizontalCentered="1"/>
  <pageMargins left="0.98425197601318404" right="0.590551197528839" top="0.590551197528839" bottom="0.590551197528839" header="0.118110239505768" footer="0.118110239505768"/>
  <pageSetup paperSize="9" scale="69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03_88120_02-01-102-19 - РС</vt:lpstr>
      <vt:lpstr>'03_88120_02-01-102-19 - РС'!Заголовки_для_печати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Мочалкина Елена Николаевна</dc:creator>
  <cp:lastModifiedBy>Мочалкина Елена Николаевна</cp:lastModifiedBy>
  <cp:lastPrinted>2022-11-07T09:21:14Z</cp:lastPrinted>
  <dcterms:created xsi:type="dcterms:W3CDTF">2020-09-30T08:50:27Z</dcterms:created>
  <dcterms:modified xsi:type="dcterms:W3CDTF">2023-07-10T10:15:29Z</dcterms:modified>
</cp:coreProperties>
</file>