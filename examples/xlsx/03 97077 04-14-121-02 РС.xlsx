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2" yWindow="516" windowWidth="15036" windowHeight="9732"/>
  </bookViews>
  <sheets>
    <sheet name="03_97077_04-14-121-02 - РС" sheetId="1" r:id="rId1"/>
  </sheets>
  <definedNames>
    <definedName name="_xlnm.Print_Titles" localSheetId="0">'03_97077_04-14-121-02 - РС'!$20:$20</definedName>
  </definedNames>
  <calcPr calcId="145621"/>
</workbook>
</file>

<file path=xl/calcChain.xml><?xml version="1.0" encoding="utf-8"?>
<calcChain xmlns="http://schemas.openxmlformats.org/spreadsheetml/2006/main">
  <c r="A81" i="1" l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4" i="1"/>
  <c r="A33" i="1"/>
  <c r="A32" i="1"/>
  <c r="A31" i="1"/>
  <c r="A30" i="1"/>
  <c r="A29" i="1"/>
  <c r="A28" i="1"/>
  <c r="A27" i="1"/>
  <c r="A26" i="1"/>
  <c r="A25" i="1"/>
  <c r="A24" i="1"/>
  <c r="A23" i="1"/>
</calcChain>
</file>

<file path=xl/sharedStrings.xml><?xml version="1.0" encoding="utf-8"?>
<sst xmlns="http://schemas.openxmlformats.org/spreadsheetml/2006/main" count="293" uniqueCount="175">
  <si>
    <t>Магистральный газопровод Сахалин - Хабаровск - Владивосток
Этап 12.1. КС-9 «Дальнереченская». Два технологических модуля мощностью ГПА 16 МВт каждый.
Этап 12.2. КС-9 «Дальнереченская». Один технологический модуль мощностью ГПА 16 МВт</t>
  </si>
  <si>
    <t>(наименование стройки)</t>
  </si>
  <si>
    <t xml:space="preserve">ВЕДОМОСТЬ РЕСУРСОВ    </t>
  </si>
  <si>
    <t>№ 03:97077/04-14-121-02</t>
  </si>
  <si>
    <t>в текущем уровне цен</t>
  </si>
  <si>
    <t xml:space="preserve">на </t>
  </si>
  <si>
    <t xml:space="preserve">Строительные работы. Этап 12.1. Здание закрытого распределительного устройства. Конструкции металлические., </t>
  </si>
  <si>
    <t>(наименование работ и затрат, наименование объекта)</t>
  </si>
  <si>
    <t>Основание:</t>
  </si>
  <si>
    <t>0471.022.П.12/1.0003.КС.009.4512.016-3-КМ</t>
  </si>
  <si>
    <t>Сметная стоимость, руб.:</t>
  </si>
  <si>
    <t>Нормативная трудоемкость основных рабочих, чел.ч.:</t>
  </si>
  <si>
    <t>Нормативная трудоемкость машинистов, чел.ч.:</t>
  </si>
  <si>
    <t>Сметная заработная плата основных рабочих, руб.:</t>
  </si>
  <si>
    <t>Сметная заработная плата машинистов, руб.:</t>
  </si>
  <si>
    <t>№ п.п.</t>
  </si>
  <si>
    <t>Обоснование</t>
  </si>
  <si>
    <t>Наименование</t>
  </si>
  <si>
    <t>Единица измерения</t>
  </si>
  <si>
    <t>Общее кол-во</t>
  </si>
  <si>
    <t>Сметная стоимость в текущих ценах, руб.</t>
  </si>
  <si>
    <t>На ед.</t>
  </si>
  <si>
    <t>Общая</t>
  </si>
  <si>
    <t>2</t>
  </si>
  <si>
    <t>Ресурсы подрядчика</t>
  </si>
  <si>
    <t xml:space="preserve">          Трудозатраты</t>
  </si>
  <si>
    <t>1-100-30</t>
  </si>
  <si>
    <t>Средний разряд работы 3,0</t>
  </si>
  <si>
    <t>чел.-ч</t>
  </si>
  <si>
    <t xml:space="preserve">1 </t>
  </si>
  <si>
    <t>1-100-32</t>
  </si>
  <si>
    <t>Средний разряд работы 3,2</t>
  </si>
  <si>
    <t>1-100-33</t>
  </si>
  <si>
    <t>Средний разряд работы 3,3</t>
  </si>
  <si>
    <t>1-100-35</t>
  </si>
  <si>
    <t>Средний разряд работы 3,5</t>
  </si>
  <si>
    <t>1-100-36</t>
  </si>
  <si>
    <t>Средний разряд работы 3,6</t>
  </si>
  <si>
    <t>1-100-44</t>
  </si>
  <si>
    <t>Средний разряд работы 4,4</t>
  </si>
  <si>
    <t>1-100-49</t>
  </si>
  <si>
    <t>Средний разряд работы 4,9</t>
  </si>
  <si>
    <t>Затраты труда машинистов</t>
  </si>
  <si>
    <t>2-100-01</t>
  </si>
  <si>
    <t>Рабочий 1 разряда</t>
  </si>
  <si>
    <t>2-100-02</t>
  </si>
  <si>
    <t>Рабочий 2 разряда</t>
  </si>
  <si>
    <t>2-100-03</t>
  </si>
  <si>
    <t>Рабочий 3 разряда</t>
  </si>
  <si>
    <t>2-100-04</t>
  </si>
  <si>
    <t>Рабочий 4 разряда</t>
  </si>
  <si>
    <t>Итого "Трудозатраты"</t>
  </si>
  <si>
    <t>руб</t>
  </si>
  <si>
    <t xml:space="preserve">          Машины и механизмы</t>
  </si>
  <si>
    <t>91.03.19-092</t>
  </si>
  <si>
    <t>Гайковерты ручные пневматические при работе от передвижных компрессорных установок</t>
  </si>
  <si>
    <t>маш.час</t>
  </si>
  <si>
    <t>91.05.01-025</t>
  </si>
  <si>
    <t>Краны башенные, грузоподъемность 25-75 т</t>
  </si>
  <si>
    <t>5 550,60
----------
630,80</t>
  </si>
  <si>
    <t>23 201,51
----------
2 636,74</t>
  </si>
  <si>
    <t>91.05.02-005</t>
  </si>
  <si>
    <t>Краны козловые, грузоподъемность 32 т</t>
  </si>
  <si>
    <t>1 594,12
----------
521,49</t>
  </si>
  <si>
    <t>18 141,09
----------
5 934,55</t>
  </si>
  <si>
    <t>91.05.05-015</t>
  </si>
  <si>
    <t>Краны на автомобильном ходу, грузоподъемность 16 т</t>
  </si>
  <si>
    <t>2 899,16
----------
521,49</t>
  </si>
  <si>
    <t>42 472,70
----------
7 639,83</t>
  </si>
  <si>
    <t>91.05.06-007</t>
  </si>
  <si>
    <t>Краны на гусеничном ходу, грузоподъемность 25 т</t>
  </si>
  <si>
    <t>3 065,85
----------
521,49</t>
  </si>
  <si>
    <t>256 366,38
----------
43 606,99</t>
  </si>
  <si>
    <t>91.06.01-003</t>
  </si>
  <si>
    <t>Домкраты гидравлические, грузоподъемность 63-100 т</t>
  </si>
  <si>
    <t>91.06.03-060</t>
  </si>
  <si>
    <t>Лебедки электрические тяговым усилием до 5,79 кН (0,59 т)</t>
  </si>
  <si>
    <t>91.06.03-062</t>
  </si>
  <si>
    <t>Лебедки электрические тяговым усилием до 31,39 кН (3,2 т)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</si>
  <si>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</si>
  <si>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</si>
  <si>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3 241,54
----------
465,62</t>
  </si>
  <si>
    <t>1 685,59
----------
242,12</t>
  </si>
  <si>
    <t>91.06.09-061</t>
  </si>
  <si>
    <t>Подмости самоходные, высота подъема 12 м</t>
  </si>
  <si>
    <t>575,12
----------
415,74</t>
  </si>
  <si>
    <t>44 036,94
----------
31 833,21</t>
  </si>
  <si>
    <t>91.14.02-001</t>
  </si>
  <si>
    <t>Автомобили бортовые, грузоподъемность до 5 т</t>
  </si>
  <si>
    <t>1 377,89
----------
415,74</t>
  </si>
  <si>
    <t>26 910,19
----------
8 119,41</t>
  </si>
  <si>
    <t>91.17.04-042</t>
  </si>
  <si>
    <t>Аппараты для газовой сварки и резки</t>
  </si>
  <si>
    <t>91.17.04-171</t>
  </si>
  <si>
    <t>Аппараты сварочные для ручной дуговой сварки, сварочный ток до 500 А</t>
  </si>
  <si>
    <t>91.18.01-004</t>
  </si>
  <si>
    <t>Компрессоры винтовые передвижные с двигателем внутреннего сгорания, давление до 1 МПа (10 атм), производительность до 10 м3/мин</t>
  </si>
  <si>
    <t>1 943,06
----------
415,74</t>
  </si>
  <si>
    <t>428 405,87
----------
91 662,36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</si>
  <si>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</si>
  <si>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</si>
  <si>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966,66
----------
415,74</t>
  </si>
  <si>
    <t>32 586,11
----------
14 014,60</t>
  </si>
  <si>
    <t>91.21.01-012</t>
  </si>
  <si>
    <t>Агрегаты окрасочные высокого давления для окраски поверхностей конструкций, мощность 1 кВт</t>
  </si>
  <si>
    <t>91.21.03-502</t>
  </si>
  <si>
    <t>Аппараты пескоструйные при работе от передвижных компрессорных установок, объем до 19 л, расход воздуха 270-700 л/мин</t>
  </si>
  <si>
    <t>91.21.03-507</t>
  </si>
  <si>
    <t>Аппараты абразивоструйные при работе от передвижных компрессорных установок, объем до 200 л, расход воздуха до 16 м3/мин</t>
  </si>
  <si>
    <t>91.21.22-638</t>
  </si>
  <si>
    <t>Пылесосы промышленные, мощность до 2000 Вт</t>
  </si>
  <si>
    <t>Итого "Машины и механизмы"</t>
  </si>
  <si>
    <t xml:space="preserve">          Материалы</t>
  </si>
  <si>
    <t>01.3.02.08-0001</t>
  </si>
  <si>
    <t>Кислород газообразный технический</t>
  </si>
  <si>
    <t>м3</t>
  </si>
  <si>
    <t>01.3.02.09-0022</t>
  </si>
  <si>
    <t>Пропан-бутан смесь техническая</t>
  </si>
  <si>
    <t>кг</t>
  </si>
  <si>
    <t>01.7.03.04-0001</t>
  </si>
  <si>
    <t>Электроэнергия</t>
  </si>
  <si>
    <t>кВт-ч</t>
  </si>
  <si>
    <t>01.7.11.07-0000-0422</t>
  </si>
  <si>
    <t>Электроды сварочные Э-42, диаметр 5 мм (прим.)</t>
  </si>
  <si>
    <t>т</t>
  </si>
  <si>
    <t>01.7.15.03-0042</t>
  </si>
  <si>
    <t>Болты с гайками и шайбами строительные</t>
  </si>
  <si>
    <t>01.7.15.06-0111</t>
  </si>
  <si>
    <t>Гвозди строительные</t>
  </si>
  <si>
    <t>01.7.17.08-0001</t>
  </si>
  <si>
    <t>Купрошлак</t>
  </si>
  <si>
    <t>01.7.20.08-0051</t>
  </si>
  <si>
    <t>Ветошь хлопчатобумажная цветная</t>
  </si>
  <si>
    <t>01.7.20.08-0071</t>
  </si>
  <si>
    <t>Канат пеньковый тросовой свивки, пропитанный, диаметр 26 мм</t>
  </si>
  <si>
    <t>07.2.07.04-0007-0001</t>
  </si>
  <si>
    <t>Конструкции стальные индивидуальные решетчатые сварные, масса до 0,1 т</t>
  </si>
  <si>
    <t>07.2.07.12-0011</t>
  </si>
  <si>
    <t>Металлоконструкции зданий и сооружений с преобладанием гнутых профилей и круглых труб</t>
  </si>
  <si>
    <t>07.2.07.12-0019</t>
  </si>
  <si>
    <t>Элементы конструктивные зданий и сооружений с преобладанием горячекатаных профилей, средняя масса сборочной единицы до 0,1 т</t>
  </si>
  <si>
    <t>08.2.02.11-0007</t>
  </si>
  <si>
    <t>Канат двойной свивки ТК, конструкции 6х19(1+6+12)+1 о.с., марка В, из оцинкованной по группе Ж проволоки, маркировочная группа 1570-1770 Н/мм2, диаметр 5,5 мм</t>
  </si>
  <si>
    <t>10 м</t>
  </si>
  <si>
    <t>08.3.04.01-0000-0002</t>
  </si>
  <si>
    <t>Катанка горячекатаная в мотках диаметром 6,3-6,5 мм</t>
  </si>
  <si>
    <t>08.3.11.01-0000-0011</t>
  </si>
  <si>
    <t>Швеллеры № 40 сталь марки СТ3ПС</t>
  </si>
  <si>
    <t>11.1.03.01-0061</t>
  </si>
  <si>
    <t>Бруски обрезные хвойных пород (ель, сосна), естественной влажности, длина 2-6,5 м, ширина 20-90 мм, толщина 20-90 мм, сорт I</t>
  </si>
  <si>
    <t>14.4.01.01-0003</t>
  </si>
  <si>
    <t>Грунтовка ГФ-021</t>
  </si>
  <si>
    <t>14.4.01.09-0000-0011</t>
  </si>
  <si>
    <t xml:space="preserve">Грунтовка эпоксидная СпецПротект 008 (серая) </t>
  </si>
  <si>
    <t>14.4.02.06-0000-0091</t>
  </si>
  <si>
    <t xml:space="preserve">Грунт-эмаль СпецПротект 109 У (серый RAL 0009000) </t>
  </si>
  <si>
    <t>14.5.09.01-0001</t>
  </si>
  <si>
    <t>Ацетон технический, сорт I</t>
  </si>
  <si>
    <t>14.5.09.07-0030</t>
  </si>
  <si>
    <t>Растворитель Р-4</t>
  </si>
  <si>
    <t>14.5.09.07-0033</t>
  </si>
  <si>
    <t>Растворитель марки: Р-5А</t>
  </si>
  <si>
    <t>С245, С255</t>
  </si>
  <si>
    <t>Доплата  на марку стали С245, С255 (7,67% от базовой цены 07.2.07.12-0019)</t>
  </si>
  <si>
    <t>13 422,50
175000,00*0,0767</t>
  </si>
  <si>
    <t>С255</t>
  </si>
  <si>
    <t>Доплата за марку стали С245, С255 (7,67 % к базисной цене 07.2.07.04-0007-0001)</t>
  </si>
  <si>
    <t>Итого "Материалы"</t>
  </si>
  <si>
    <t>Итого прямые затраты по смете в текущих ценах</t>
  </si>
  <si>
    <t>Накладные расходы</t>
  </si>
  <si>
    <t>Сметная прибыль</t>
  </si>
  <si>
    <t>ВСЕГО по смете</t>
  </si>
  <si>
    <t>Составил:                             (Исхакова Р.М.)</t>
  </si>
  <si>
    <t>Проверил:                             (Бабаева О.В.)</t>
  </si>
  <si>
    <t>Строительные работы. Этап 12.1. Здание закрытого распределительного устройства. Конструкции металлические.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</si>
</sst>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0.0000"/>
    <numFmt numFmtId="166" formatCode="0.00000"/>
    <numFmt numFmtId="167" formatCode="0.000000"/>
    <numFmt numFmtId="168" formatCode="0.000"/>
  </numFmts>
  <fonts count="16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10"/>
      <name val="Arial"/>
      <charset val="204"/>
    </font>
    <font>
      <b/>
      <sz val="10"/>
      <name val="Arial"/>
      <charset val="204"/>
    </font>
    <font>
      <i/>
      <sz val="9"/>
      <name val="Arial"/>
      <charset val="204"/>
    </font>
    <font>
      <b/>
      <sz val="14"/>
      <name val="Arial"/>
      <charset val="204"/>
    </font>
    <font>
      <b/>
      <sz val="12"/>
      <name val="Arial"/>
      <charset val="204"/>
    </font>
    <font>
      <sz val="12"/>
      <name val="Arial"/>
      <charset val="204"/>
    </font>
    <font>
      <sz val="11"/>
      <name val="Arial"/>
      <charset val="204"/>
    </font>
    <font>
      <sz val="10"/>
      <color rgb="FF000000"/>
      <name val="Arial"/>
      <charset val="204"/>
    </font>
    <font>
      <sz val="9"/>
      <name val="Arial"/>
      <charset val="204"/>
    </font>
    <font>
      <b/>
      <sz val="8"/>
      <name val="Arial"/>
      <charset val="204"/>
    </font>
    <font>
      <b/>
      <sz val="8"/>
      <color rgb="FF000000"/>
      <name val="Arial"/>
      <charset val="204"/>
    </font>
    <font>
      <b/>
      <sz val="9"/>
      <color rgb="FF000000"/>
      <name val="Arial"/>
      <charset val="204"/>
    </font>
    <font>
      <sz val="8"/>
      <name val="Arial"/>
      <charset val="204"/>
    </font>
    <font>
      <i/>
      <sz val="8"/>
      <name val="Arial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49" fontId="2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4" fillId="0" borderId="0" xfId="0" applyNumberFormat="1" applyFont="1" applyFill="1" applyBorder="1" applyAlignment="1" applyProtection="1">
      <alignment horizontal="center" vertical="top"/>
    </xf>
    <xf numFmtId="0" fontId="5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>
      <alignment wrapText="1"/>
    </xf>
    <xf numFmtId="0" fontId="7" fillId="0" borderId="0" xfId="0" applyNumberFormat="1" applyFont="1" applyFill="1" applyBorder="1" applyAlignment="1" applyProtection="1">
      <alignment horizontal="center"/>
    </xf>
    <xf numFmtId="0" fontId="8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alignment horizontal="right"/>
    </xf>
    <xf numFmtId="0" fontId="10" fillId="0" borderId="0" xfId="0" applyNumberFormat="1" applyFont="1" applyFill="1" applyBorder="1" applyAlignment="1" applyProtection="1">
      <alignment horizontal="right"/>
    </xf>
    <xf numFmtId="0" fontId="11" fillId="0" borderId="0" xfId="0" applyNumberFormat="1" applyFont="1" applyFill="1" applyBorder="1" applyAlignment="1" applyProtection="1">
      <alignment horizontal="center"/>
    </xf>
    <xf numFmtId="0" fontId="1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top" wrapText="1"/>
    </xf>
    <xf numFmtId="0" fontId="10" fillId="0" borderId="0" xfId="0" applyNumberFormat="1" applyFont="1" applyFill="1" applyBorder="1" applyAlignment="1" applyProtection="1">
      <alignment horizontal="center"/>
    </xf>
    <xf numFmtId="0" fontId="10" fillId="0" borderId="3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3" fillId="0" borderId="0" xfId="0" applyNumberFormat="1" applyFont="1" applyFill="1" applyBorder="1" applyAlignment="1" applyProtection="1">
      <alignment wrapText="1"/>
    </xf>
    <xf numFmtId="0" fontId="12" fillId="0" borderId="3" xfId="0" applyNumberFormat="1" applyFont="1" applyFill="1" applyBorder="1" applyAlignment="1" applyProtection="1">
      <alignment horizontal="center" vertical="top" wrapText="1"/>
    </xf>
    <xf numFmtId="0" fontId="1" fillId="0" borderId="3" xfId="0" applyNumberFormat="1" applyFont="1" applyFill="1" applyBorder="1" applyAlignment="1" applyProtection="1">
      <alignment horizontal="left" vertical="top" wrapText="1"/>
    </xf>
    <xf numFmtId="0" fontId="1" fillId="0" borderId="3" xfId="0" applyNumberFormat="1" applyFont="1" applyFill="1" applyBorder="1" applyAlignment="1" applyProtection="1">
      <alignment vertical="top" wrapText="1"/>
    </xf>
    <xf numFmtId="0" fontId="1" fillId="0" borderId="3" xfId="0" applyNumberFormat="1" applyFont="1" applyFill="1" applyBorder="1" applyAlignment="1" applyProtection="1">
      <alignment horizontal="center" vertical="top" wrapText="1"/>
    </xf>
    <xf numFmtId="1" fontId="1" fillId="0" borderId="3" xfId="0" applyNumberFormat="1" applyFont="1" applyFill="1" applyBorder="1" applyAlignment="1" applyProtection="1">
      <alignment horizontal="center" vertical="top" wrapText="1"/>
    </xf>
    <xf numFmtId="2" fontId="1" fillId="0" borderId="3" xfId="0" applyNumberFormat="1" applyFont="1" applyFill="1" applyBorder="1" applyAlignment="1" applyProtection="1">
      <alignment horizontal="right" vertical="top" wrapText="1"/>
    </xf>
    <xf numFmtId="4" fontId="1" fillId="0" borderId="3" xfId="0" applyNumberFormat="1" applyFont="1" applyFill="1" applyBorder="1" applyAlignment="1" applyProtection="1">
      <alignment horizontal="right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2" fontId="1" fillId="0" borderId="3" xfId="0" applyNumberFormat="1" applyFont="1" applyFill="1" applyBorder="1" applyAlignment="1" applyProtection="1">
      <alignment horizontal="center" vertical="top" wrapText="1"/>
    </xf>
    <xf numFmtId="1" fontId="1" fillId="0" borderId="3" xfId="0" applyNumberFormat="1" applyFont="1" applyFill="1" applyBorder="1" applyAlignment="1" applyProtection="1">
      <alignment horizontal="left" vertical="top" wrapText="1"/>
    </xf>
    <xf numFmtId="0" fontId="1" fillId="0" borderId="3" xfId="0" applyNumberFormat="1" applyFont="1" applyFill="1" applyBorder="1" applyAlignment="1" applyProtection="1">
      <alignment horizontal="right" vertical="top" wrapText="1"/>
    </xf>
    <xf numFmtId="164" fontId="1" fillId="0" borderId="3" xfId="0" applyNumberFormat="1" applyFont="1" applyFill="1" applyBorder="1" applyAlignment="1" applyProtection="1">
      <alignment horizontal="center" vertical="top" wrapText="1"/>
    </xf>
    <xf numFmtId="0" fontId="12" fillId="0" borderId="3" xfId="0" applyNumberFormat="1" applyFont="1" applyFill="1" applyBorder="1" applyAlignment="1" applyProtection="1">
      <alignment vertical="top" wrapText="1"/>
    </xf>
    <xf numFmtId="4" fontId="12" fillId="0" borderId="3" xfId="0" applyNumberFormat="1" applyFont="1" applyFill="1" applyBorder="1" applyAlignment="1" applyProtection="1">
      <alignment horizontal="right" vertical="top" wrapText="1"/>
    </xf>
    <xf numFmtId="165" fontId="1" fillId="0" borderId="3" xfId="0" applyNumberFormat="1" applyFont="1" applyFill="1" applyBorder="1" applyAlignment="1" applyProtection="1">
      <alignment horizontal="center" vertical="top" wrapText="1"/>
    </xf>
    <xf numFmtId="166" fontId="1" fillId="0" borderId="3" xfId="0" applyNumberFormat="1" applyFont="1" applyFill="1" applyBorder="1" applyAlignment="1" applyProtection="1">
      <alignment horizontal="center" vertical="top" wrapText="1"/>
    </xf>
    <xf numFmtId="167" fontId="1" fillId="0" borderId="3" xfId="0" applyNumberFormat="1" applyFont="1" applyFill="1" applyBorder="1" applyAlignment="1" applyProtection="1">
      <alignment horizontal="center" vertical="top" wrapText="1"/>
    </xf>
    <xf numFmtId="168" fontId="1" fillId="0" borderId="3" xfId="0" applyNumberFormat="1" applyFont="1" applyFill="1" applyBorder="1" applyAlignment="1" applyProtection="1">
      <alignment horizontal="center" vertical="top" wrapText="1"/>
    </xf>
    <xf numFmtId="0" fontId="12" fillId="0" borderId="0" xfId="0" applyNumberFormat="1" applyFont="1" applyFill="1" applyBorder="1" applyAlignment="1" applyProtection="1">
      <alignment vertical="top" wrapText="1"/>
    </xf>
    <xf numFmtId="0" fontId="12" fillId="0" borderId="0" xfId="0" applyNumberFormat="1" applyFont="1" applyFill="1" applyBorder="1" applyAlignment="1" applyProtection="1">
      <alignment horizontal="right" vertical="top" wrapText="1"/>
    </xf>
    <xf numFmtId="0" fontId="12" fillId="0" borderId="0" xfId="0" applyNumberFormat="1" applyFont="1" applyFill="1" applyBorder="1" applyAlignment="1" applyProtection="1">
      <alignment wrapText="1"/>
    </xf>
    <xf numFmtId="0" fontId="14" fillId="0" borderId="0" xfId="0" applyNumberFormat="1" applyFont="1" applyFill="1" applyBorder="1" applyAlignment="1" applyProtection="1">
      <alignment horizontal="right" vertical="top"/>
    </xf>
    <xf numFmtId="0" fontId="14" fillId="0" borderId="0" xfId="0" applyNumberFormat="1" applyFont="1" applyFill="1" applyBorder="1" applyAlignment="1" applyProtection="1">
      <alignment vertical="top"/>
    </xf>
    <xf numFmtId="0" fontId="14" fillId="0" borderId="0" xfId="0" applyNumberFormat="1" applyFont="1" applyFill="1" applyBorder="1" applyAlignment="1" applyProtection="1">
      <alignment wrapText="1"/>
    </xf>
    <xf numFmtId="0" fontId="14" fillId="0" borderId="0" xfId="0" applyNumberFormat="1" applyFont="1" applyFill="1" applyBorder="1" applyAlignment="1" applyProtection="1"/>
    <xf numFmtId="0" fontId="15" fillId="0" borderId="0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center" vertical="top"/>
    </xf>
    <xf numFmtId="0" fontId="7" fillId="0" borderId="0" xfId="0" applyNumberFormat="1" applyFont="1" applyFill="1" applyBorder="1" applyAlignment="1" applyProtection="1">
      <alignment horizontal="left"/>
    </xf>
    <xf numFmtId="0" fontId="2" fillId="0" borderId="1" xfId="0" applyNumberFormat="1" applyFont="1" applyFill="1" applyBorder="1" applyAlignment="1" applyProtection="1">
      <alignment horizontal="center" wrapText="1"/>
    </xf>
    <xf numFmtId="0" fontId="4" fillId="0" borderId="2" xfId="0" applyNumberFormat="1" applyFont="1" applyFill="1" applyBorder="1" applyAlignment="1" applyProtection="1">
      <alignment horizontal="center" vertical="top"/>
    </xf>
    <xf numFmtId="49" fontId="2" fillId="0" borderId="0" xfId="0" applyNumberFormat="1" applyFont="1" applyFill="1" applyBorder="1" applyAlignment="1" applyProtection="1">
      <alignment horizontal="left" vertical="top" wrapText="1"/>
    </xf>
    <xf numFmtId="4" fontId="10" fillId="0" borderId="0" xfId="0" applyNumberFormat="1" applyFont="1" applyFill="1" applyBorder="1" applyAlignment="1" applyProtection="1">
      <alignment horizontal="right"/>
    </xf>
    <xf numFmtId="0" fontId="10" fillId="0" borderId="0" xfId="0" applyNumberFormat="1" applyFont="1" applyFill="1" applyBorder="1" applyAlignment="1" applyProtection="1">
      <alignment horizontal="right"/>
    </xf>
    <xf numFmtId="2" fontId="10" fillId="0" borderId="0" xfId="0" applyNumberFormat="1" applyFont="1" applyFill="1" applyBorder="1" applyAlignment="1" applyProtection="1">
      <alignment horizontal="right"/>
    </xf>
    <xf numFmtId="0" fontId="10" fillId="0" borderId="3" xfId="0" applyNumberFormat="1" applyFont="1" applyFill="1" applyBorder="1" applyAlignment="1" applyProtection="1">
      <alignment horizontal="center" vertical="center" wrapText="1"/>
    </xf>
    <xf numFmtId="49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4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0" fontId="13" fillId="0" borderId="3" xfId="0" applyNumberFormat="1" applyFont="1" applyFill="1" applyBorder="1" applyAlignment="1" applyProtection="1">
      <alignment horizontal="left" vertical="top" wrapText="1"/>
    </xf>
    <xf numFmtId="0" fontId="12" fillId="0" borderId="4" xfId="0" applyNumberFormat="1" applyFont="1" applyFill="1" applyBorder="1" applyAlignment="1" applyProtection="1">
      <alignment vertical="top" wrapText="1"/>
    </xf>
    <xf numFmtId="0" fontId="12" fillId="0" borderId="6" xfId="0" applyNumberFormat="1" applyFont="1" applyFill="1" applyBorder="1" applyAlignment="1" applyProtection="1">
      <alignment vertical="top" wrapText="1"/>
    </xf>
    <xf numFmtId="0" fontId="12" fillId="0" borderId="5" xfId="0" applyNumberFormat="1" applyFont="1" applyFill="1" applyBorder="1" applyAlignment="1" applyProtection="1">
      <alignment vertical="top" wrapText="1"/>
    </xf>
    <xf numFmtId="0" fontId="14" fillId="0" borderId="0" xfId="0" applyNumberFormat="1" applyFont="1" applyFill="1" applyBorder="1" applyAlignment="1" applyProtection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89"/>
  <sheetViews>
    <sheetView tabSelected="1" view="pageBreakPreview" topLeftCell="A61" zoomScale="60" zoomScaleNormal="100" workbookViewId="0">
      <selection activeCell="G9" sqref="G9"/>
    </sheetView>
  </sheetViews>
  <sheetFormatPr defaultColWidth="9.109375" defaultRowHeight="11.25" customHeight="1" x14ac:dyDescent="0.2"/>
  <cols>
    <col min="1" max="1" width="11" style="1" customWidth="1"/>
    <col min="2" max="2" width="17.5546875" style="1" customWidth="1"/>
    <col min="3" max="3" width="43.44140625" style="1" customWidth="1"/>
    <col min="4" max="4" width="9.6640625" style="1" customWidth="1"/>
    <col min="5" max="5" width="11.6640625" style="1" customWidth="1"/>
    <col min="6" max="7" width="16.44140625" style="1" customWidth="1"/>
    <col min="8" max="9" width="14.6640625" style="1" customWidth="1"/>
    <col min="10" max="10" width="9" style="1" hidden="1" customWidth="1"/>
    <col min="11" max="11" width="14.44140625" style="1" customWidth="1"/>
    <col min="12" max="15" width="9.109375" style="1"/>
    <col min="16" max="16" width="111.88671875" style="2" hidden="1" customWidth="1"/>
    <col min="17" max="17" width="34.44140625" style="2" hidden="1" customWidth="1"/>
    <col min="18" max="18" width="111.88671875" style="2" hidden="1" customWidth="1"/>
    <col min="19" max="19" width="53.109375" style="2" hidden="1" customWidth="1"/>
    <col min="20" max="21" width="122.88671875" style="2" hidden="1" customWidth="1"/>
    <col min="22" max="22" width="106.44140625" style="2" hidden="1" customWidth="1"/>
    <col min="23" max="23" width="61" style="2" hidden="1" customWidth="1"/>
    <col min="24" max="24" width="50.88671875" style="2" hidden="1" customWidth="1"/>
    <col min="25" max="16384" width="9.109375" style="1"/>
  </cols>
  <sheetData>
    <row r="1" spans="1:19" customFormat="1" ht="40.200000000000003" x14ac:dyDescent="0.3">
      <c r="A1" s="3"/>
      <c r="B1" s="50" t="s">
        <v>0</v>
      </c>
      <c r="C1" s="50"/>
      <c r="D1" s="50"/>
      <c r="E1" s="50"/>
      <c r="F1" s="50"/>
      <c r="G1" s="50"/>
      <c r="H1" s="4"/>
      <c r="P1" s="5" t="s">
        <v>0</v>
      </c>
    </row>
    <row r="2" spans="1:19" customFormat="1" ht="13.5" customHeight="1" x14ac:dyDescent="0.3">
      <c r="A2" s="3"/>
      <c r="B2" s="51" t="s">
        <v>1</v>
      </c>
      <c r="C2" s="51"/>
      <c r="D2" s="51"/>
      <c r="E2" s="51"/>
      <c r="F2" s="51"/>
      <c r="G2" s="51"/>
      <c r="H2" s="7"/>
    </row>
    <row r="3" spans="1:19" customFormat="1" ht="13.5" customHeight="1" x14ac:dyDescent="0.3">
      <c r="A3" s="7"/>
      <c r="B3" s="4"/>
      <c r="C3" s="4"/>
      <c r="D3" s="4"/>
      <c r="E3" s="4"/>
      <c r="F3" s="4"/>
      <c r="G3" s="4"/>
      <c r="H3" s="7"/>
    </row>
    <row r="4" spans="1:19" customFormat="1" ht="17.399999999999999" x14ac:dyDescent="0.3">
      <c r="B4" s="7"/>
      <c r="C4" s="8" t="s">
        <v>2</v>
      </c>
      <c r="D4" s="52" t="s">
        <v>3</v>
      </c>
      <c r="E4" s="52"/>
      <c r="F4" s="52"/>
      <c r="H4" s="7"/>
      <c r="Q4" s="9" t="s">
        <v>3</v>
      </c>
    </row>
    <row r="5" spans="1:19" customFormat="1" ht="13.5" customHeight="1" x14ac:dyDescent="0.3">
      <c r="B5" s="10"/>
      <c r="C5" s="11"/>
      <c r="D5" s="12" t="s">
        <v>4</v>
      </c>
      <c r="E5" s="10"/>
      <c r="F5" s="10"/>
      <c r="G5" s="10"/>
      <c r="H5" s="7"/>
    </row>
    <row r="6" spans="1:19" customFormat="1" ht="13.5" customHeight="1" x14ac:dyDescent="0.3">
      <c r="B6" s="10"/>
      <c r="C6" s="11"/>
      <c r="D6" s="12"/>
      <c r="E6" s="10"/>
      <c r="F6" s="10"/>
      <c r="G6" s="10"/>
      <c r="H6" s="7"/>
    </row>
    <row r="7" spans="1:19" customFormat="1" ht="17.399999999999999" x14ac:dyDescent="0.3">
      <c r="A7" s="13" t="s">
        <v>5</v>
      </c>
      <c r="B7" s="53" t="s">
        <v>174</v>
      </c>
      <c r="C7" s="53"/>
      <c r="D7" s="53"/>
      <c r="E7" s="53"/>
      <c r="F7" s="53"/>
      <c r="G7" s="53"/>
      <c r="H7" s="7"/>
      <c r="R7" s="5" t="s">
        <v>6</v>
      </c>
    </row>
    <row r="8" spans="1:19" customFormat="1" ht="13.5" customHeight="1" x14ac:dyDescent="0.3">
      <c r="A8" s="10"/>
      <c r="B8" s="54" t="s">
        <v>7</v>
      </c>
      <c r="C8" s="54"/>
      <c r="D8" s="54"/>
      <c r="E8" s="54"/>
      <c r="F8" s="54"/>
      <c r="G8" s="54"/>
      <c r="H8" s="7"/>
    </row>
    <row r="9" spans="1:19" customFormat="1" ht="13.5" customHeight="1" x14ac:dyDescent="0.3">
      <c r="A9" s="10"/>
      <c r="B9" s="10"/>
      <c r="C9" s="10"/>
      <c r="D9" s="6"/>
      <c r="E9" s="10"/>
      <c r="F9" s="10"/>
      <c r="G9" s="10"/>
      <c r="H9" s="7"/>
    </row>
    <row r="10" spans="1:19" customFormat="1" ht="17.399999999999999" x14ac:dyDescent="0.3">
      <c r="B10" s="3" t="s">
        <v>8</v>
      </c>
      <c r="C10" s="55" t="s">
        <v>9</v>
      </c>
      <c r="D10" s="55"/>
      <c r="E10" s="10"/>
      <c r="F10" s="10"/>
      <c r="G10" s="10"/>
      <c r="H10" s="7"/>
      <c r="S10" s="5" t="s">
        <v>9</v>
      </c>
    </row>
    <row r="11" spans="1:19" customFormat="1" ht="7.5" customHeight="1" x14ac:dyDescent="0.3">
      <c r="B11" s="3"/>
      <c r="C11" s="3"/>
      <c r="D11" s="3"/>
      <c r="E11" s="10"/>
      <c r="F11" s="10"/>
      <c r="G11" s="10"/>
      <c r="H11" s="7"/>
    </row>
    <row r="12" spans="1:19" customFormat="1" ht="13.5" customHeight="1" x14ac:dyDescent="0.3">
      <c r="B12" s="3"/>
      <c r="C12" s="3"/>
      <c r="D12" s="3"/>
      <c r="E12" s="14" t="s">
        <v>10</v>
      </c>
      <c r="F12" s="56">
        <v>11031396.32</v>
      </c>
      <c r="G12" s="57"/>
      <c r="H12" s="7"/>
    </row>
    <row r="13" spans="1:19" customFormat="1" ht="13.5" customHeight="1" x14ac:dyDescent="0.3">
      <c r="B13" s="3"/>
      <c r="C13" s="3"/>
      <c r="D13" s="3"/>
      <c r="E13" s="14" t="s">
        <v>11</v>
      </c>
      <c r="F13" s="56">
        <v>1684.18</v>
      </c>
      <c r="G13" s="57"/>
      <c r="H13" s="7"/>
    </row>
    <row r="14" spans="1:19" customFormat="1" ht="13.5" customHeight="1" x14ac:dyDescent="0.3">
      <c r="A14" s="7"/>
      <c r="D14" s="7"/>
      <c r="E14" s="14" t="s">
        <v>12</v>
      </c>
      <c r="F14" s="58">
        <v>464.64</v>
      </c>
      <c r="G14" s="57"/>
      <c r="H14" s="15"/>
      <c r="I14" s="16"/>
      <c r="J14" s="16"/>
      <c r="K14" s="16"/>
    </row>
    <row r="15" spans="1:19" customFormat="1" ht="13.5" customHeight="1" x14ac:dyDescent="0.3">
      <c r="A15" s="7"/>
      <c r="D15" s="17"/>
      <c r="E15" s="14" t="s">
        <v>13</v>
      </c>
      <c r="F15" s="56">
        <v>751058.29</v>
      </c>
      <c r="G15" s="57"/>
    </row>
    <row r="16" spans="1:19" customFormat="1" ht="13.5" customHeight="1" x14ac:dyDescent="0.3">
      <c r="D16" s="17"/>
      <c r="E16" s="14" t="s">
        <v>14</v>
      </c>
      <c r="F16" s="56">
        <v>205688.68</v>
      </c>
      <c r="G16" s="57"/>
      <c r="H16" s="18"/>
      <c r="I16" s="18"/>
    </row>
    <row r="17" spans="1:21" customFormat="1" ht="14.4" x14ac:dyDescent="0.3">
      <c r="B17" s="3"/>
      <c r="C17" s="17"/>
      <c r="D17" s="17"/>
      <c r="E17" s="17"/>
      <c r="F17" s="17"/>
      <c r="G17" s="17"/>
      <c r="H17" s="17"/>
    </row>
    <row r="18" spans="1:21" customFormat="1" ht="28.5" customHeight="1" x14ac:dyDescent="0.3">
      <c r="A18" s="59" t="s">
        <v>15</v>
      </c>
      <c r="B18" s="60" t="s">
        <v>16</v>
      </c>
      <c r="C18" s="59" t="s">
        <v>17</v>
      </c>
      <c r="D18" s="59" t="s">
        <v>18</v>
      </c>
      <c r="E18" s="59" t="s">
        <v>19</v>
      </c>
      <c r="F18" s="61" t="s">
        <v>20</v>
      </c>
      <c r="G18" s="62"/>
    </row>
    <row r="19" spans="1:21" customFormat="1" ht="18" customHeight="1" x14ac:dyDescent="0.3">
      <c r="A19" s="59"/>
      <c r="B19" s="60"/>
      <c r="C19" s="59"/>
      <c r="D19" s="59"/>
      <c r="E19" s="59"/>
      <c r="F19" s="19" t="s">
        <v>21</v>
      </c>
      <c r="G19" s="19" t="s">
        <v>22</v>
      </c>
      <c r="H19" s="20"/>
    </row>
    <row r="20" spans="1:21" customFormat="1" ht="12" customHeight="1" x14ac:dyDescent="0.3">
      <c r="A20" s="21">
        <v>1</v>
      </c>
      <c r="B20" s="21" t="s">
        <v>23</v>
      </c>
      <c r="C20" s="21">
        <v>3</v>
      </c>
      <c r="D20" s="21">
        <v>4</v>
      </c>
      <c r="E20" s="21">
        <v>5</v>
      </c>
      <c r="F20" s="21">
        <v>6</v>
      </c>
      <c r="G20" s="21">
        <v>7</v>
      </c>
      <c r="H20" s="20"/>
    </row>
    <row r="21" spans="1:21" customFormat="1" ht="14.4" x14ac:dyDescent="0.3">
      <c r="A21" s="63" t="s">
        <v>24</v>
      </c>
      <c r="B21" s="63"/>
      <c r="C21" s="63"/>
      <c r="D21" s="63"/>
      <c r="E21" s="63"/>
      <c r="F21" s="63"/>
      <c r="G21" s="63"/>
      <c r="H21" s="22"/>
      <c r="T21" s="23" t="s">
        <v>24</v>
      </c>
    </row>
    <row r="22" spans="1:21" customFormat="1" ht="14.4" x14ac:dyDescent="0.3">
      <c r="A22" s="63" t="s">
        <v>25</v>
      </c>
      <c r="B22" s="63"/>
      <c r="C22" s="63"/>
      <c r="D22" s="63"/>
      <c r="E22" s="63"/>
      <c r="F22" s="63"/>
      <c r="G22" s="63"/>
      <c r="H22" s="22"/>
      <c r="T22" s="23"/>
      <c r="U22" s="23" t="s">
        <v>25</v>
      </c>
    </row>
    <row r="23" spans="1:21" customFormat="1" ht="14.4" x14ac:dyDescent="0.3">
      <c r="A23" s="24">
        <f>IF(J23&lt;&gt;"",COUNTA(J$1:J23),"")</f>
        <v>1</v>
      </c>
      <c r="B23" s="25" t="s">
        <v>26</v>
      </c>
      <c r="C23" s="26" t="s">
        <v>27</v>
      </c>
      <c r="D23" s="27" t="s">
        <v>28</v>
      </c>
      <c r="E23" s="28">
        <v>104</v>
      </c>
      <c r="F23" s="29">
        <v>421.19</v>
      </c>
      <c r="G23" s="30">
        <v>43803.76</v>
      </c>
      <c r="H23" s="31"/>
      <c r="J23" s="1" t="s">
        <v>29</v>
      </c>
      <c r="T23" s="23"/>
      <c r="U23" s="23"/>
    </row>
    <row r="24" spans="1:21" customFormat="1" ht="14.4" x14ac:dyDescent="0.3">
      <c r="A24" s="24">
        <f>IF(J24&lt;&gt;"",COUNTA(J$1:J24),"")</f>
        <v>2</v>
      </c>
      <c r="B24" s="25" t="s">
        <v>30</v>
      </c>
      <c r="C24" s="26" t="s">
        <v>31</v>
      </c>
      <c r="D24" s="27" t="s">
        <v>28</v>
      </c>
      <c r="E24" s="32">
        <v>46.28</v>
      </c>
      <c r="F24" s="29">
        <v>431.29</v>
      </c>
      <c r="G24" s="30">
        <v>19960.099999999999</v>
      </c>
      <c r="H24" s="31"/>
      <c r="J24" s="1" t="s">
        <v>29</v>
      </c>
      <c r="T24" s="23"/>
      <c r="U24" s="23"/>
    </row>
    <row r="25" spans="1:21" customFormat="1" ht="14.4" x14ac:dyDescent="0.3">
      <c r="A25" s="24">
        <f>IF(J25&lt;&gt;"",COUNTA(J$1:J25),"")</f>
        <v>3</v>
      </c>
      <c r="B25" s="25" t="s">
        <v>32</v>
      </c>
      <c r="C25" s="26" t="s">
        <v>33</v>
      </c>
      <c r="D25" s="27" t="s">
        <v>28</v>
      </c>
      <c r="E25" s="32">
        <v>174.57</v>
      </c>
      <c r="F25" s="29">
        <v>436.34</v>
      </c>
      <c r="G25" s="30">
        <v>76171.87</v>
      </c>
      <c r="H25" s="31"/>
      <c r="J25" s="1" t="s">
        <v>29</v>
      </c>
      <c r="T25" s="23"/>
      <c r="U25" s="23"/>
    </row>
    <row r="26" spans="1:21" customFormat="1" ht="14.4" x14ac:dyDescent="0.3">
      <c r="A26" s="24">
        <f>IF(J26&lt;&gt;"",COUNTA(J$1:J26),"")</f>
        <v>4</v>
      </c>
      <c r="B26" s="25" t="s">
        <v>34</v>
      </c>
      <c r="C26" s="26" t="s">
        <v>35</v>
      </c>
      <c r="D26" s="27" t="s">
        <v>28</v>
      </c>
      <c r="E26" s="32">
        <v>96.51</v>
      </c>
      <c r="F26" s="29">
        <v>446.44</v>
      </c>
      <c r="G26" s="30">
        <v>43085.919999999998</v>
      </c>
      <c r="H26" s="31"/>
      <c r="J26" s="1" t="s">
        <v>29</v>
      </c>
      <c r="T26" s="23"/>
      <c r="U26" s="23"/>
    </row>
    <row r="27" spans="1:21" customFormat="1" ht="14.4" x14ac:dyDescent="0.3">
      <c r="A27" s="24">
        <f>IF(J27&lt;&gt;"",COUNTA(J$1:J27),"")</f>
        <v>5</v>
      </c>
      <c r="B27" s="25" t="s">
        <v>36</v>
      </c>
      <c r="C27" s="26" t="s">
        <v>37</v>
      </c>
      <c r="D27" s="27" t="s">
        <v>28</v>
      </c>
      <c r="E27" s="32">
        <v>509.32</v>
      </c>
      <c r="F27" s="29">
        <v>451.49</v>
      </c>
      <c r="G27" s="30">
        <v>229952.89</v>
      </c>
      <c r="H27" s="31"/>
      <c r="J27" s="1" t="s">
        <v>29</v>
      </c>
      <c r="T27" s="23"/>
      <c r="U27" s="23"/>
    </row>
    <row r="28" spans="1:21" customFormat="1" ht="14.4" x14ac:dyDescent="0.3">
      <c r="A28" s="24">
        <f>IF(J28&lt;&gt;"",COUNTA(J$1:J28),"")</f>
        <v>6</v>
      </c>
      <c r="B28" s="25" t="s">
        <v>38</v>
      </c>
      <c r="C28" s="26" t="s">
        <v>39</v>
      </c>
      <c r="D28" s="27" t="s">
        <v>28</v>
      </c>
      <c r="E28" s="32">
        <v>95.91</v>
      </c>
      <c r="F28" s="29">
        <v>494.37</v>
      </c>
      <c r="G28" s="30">
        <v>47415.03</v>
      </c>
      <c r="H28" s="31"/>
      <c r="J28" s="1" t="s">
        <v>29</v>
      </c>
      <c r="T28" s="23"/>
      <c r="U28" s="23"/>
    </row>
    <row r="29" spans="1:21" customFormat="1" ht="14.4" x14ac:dyDescent="0.3">
      <c r="A29" s="24">
        <f>IF(J29&lt;&gt;"",COUNTA(J$1:J29),"")</f>
        <v>7</v>
      </c>
      <c r="B29" s="25" t="s">
        <v>40</v>
      </c>
      <c r="C29" s="26" t="s">
        <v>41</v>
      </c>
      <c r="D29" s="27" t="s">
        <v>28</v>
      </c>
      <c r="E29" s="32">
        <v>81.95</v>
      </c>
      <c r="F29" s="29">
        <v>522.66999999999996</v>
      </c>
      <c r="G29" s="30">
        <v>42832.81</v>
      </c>
      <c r="H29" s="31"/>
      <c r="J29" s="1" t="s">
        <v>29</v>
      </c>
      <c r="T29" s="23"/>
      <c r="U29" s="23"/>
    </row>
    <row r="30" spans="1:21" customFormat="1" ht="14.4" x14ac:dyDescent="0.3">
      <c r="A30" s="24">
        <f>IF(J30&lt;&gt;"",COUNTA(J$1:J30),"")</f>
        <v>8</v>
      </c>
      <c r="B30" s="33">
        <v>2</v>
      </c>
      <c r="C30" s="26" t="s">
        <v>42</v>
      </c>
      <c r="D30" s="27" t="s">
        <v>28</v>
      </c>
      <c r="E30" s="32">
        <v>464.64</v>
      </c>
      <c r="F30" s="34"/>
      <c r="G30" s="34"/>
      <c r="H30" s="31"/>
      <c r="J30" s="1" t="s">
        <v>29</v>
      </c>
      <c r="T30" s="23"/>
      <c r="U30" s="23"/>
    </row>
    <row r="31" spans="1:21" customFormat="1" ht="14.4" x14ac:dyDescent="0.3">
      <c r="A31" s="24">
        <f>IF(J31&lt;&gt;"",COUNTA(J$1:J31),"")</f>
        <v>9</v>
      </c>
      <c r="B31" s="25" t="s">
        <v>43</v>
      </c>
      <c r="C31" s="26" t="s">
        <v>44</v>
      </c>
      <c r="D31" s="27" t="s">
        <v>28</v>
      </c>
      <c r="E31" s="35">
        <v>15.5</v>
      </c>
      <c r="F31" s="29">
        <v>335.76</v>
      </c>
      <c r="G31" s="30">
        <v>5204.28</v>
      </c>
      <c r="H31" s="31"/>
      <c r="J31" s="1" t="s">
        <v>29</v>
      </c>
      <c r="T31" s="23"/>
      <c r="U31" s="23"/>
    </row>
    <row r="32" spans="1:21" customFormat="1" ht="14.4" x14ac:dyDescent="0.3">
      <c r="A32" s="24">
        <f>IF(J32&lt;&gt;"",COUNTA(J$1:J32),"")</f>
        <v>10</v>
      </c>
      <c r="B32" s="25" t="s">
        <v>45</v>
      </c>
      <c r="C32" s="26" t="s">
        <v>46</v>
      </c>
      <c r="D32" s="27" t="s">
        <v>28</v>
      </c>
      <c r="E32" s="32">
        <v>105.87</v>
      </c>
      <c r="F32" s="29">
        <v>376.06</v>
      </c>
      <c r="G32" s="30">
        <v>39813.47</v>
      </c>
      <c r="H32" s="31"/>
      <c r="J32" s="1" t="s">
        <v>29</v>
      </c>
      <c r="T32" s="23"/>
      <c r="U32" s="23"/>
    </row>
    <row r="33" spans="1:21" customFormat="1" ht="14.4" x14ac:dyDescent="0.3">
      <c r="A33" s="24">
        <f>IF(J33&lt;&gt;"",COUNTA(J$1:J33),"")</f>
        <v>11</v>
      </c>
      <c r="B33" s="25" t="s">
        <v>47</v>
      </c>
      <c r="C33" s="26" t="s">
        <v>48</v>
      </c>
      <c r="D33" s="27" t="s">
        <v>28</v>
      </c>
      <c r="E33" s="32">
        <v>227.14</v>
      </c>
      <c r="F33" s="29">
        <v>421.19</v>
      </c>
      <c r="G33" s="30">
        <v>95669.1</v>
      </c>
      <c r="H33" s="31"/>
      <c r="J33" s="1" t="s">
        <v>29</v>
      </c>
      <c r="T33" s="23"/>
      <c r="U33" s="23"/>
    </row>
    <row r="34" spans="1:21" customFormat="1" ht="14.4" x14ac:dyDescent="0.3">
      <c r="A34" s="24">
        <f>IF(J34&lt;&gt;"",COUNTA(J$1:J34),"")</f>
        <v>12</v>
      </c>
      <c r="B34" s="25" t="s">
        <v>49</v>
      </c>
      <c r="C34" s="26" t="s">
        <v>50</v>
      </c>
      <c r="D34" s="27" t="s">
        <v>28</v>
      </c>
      <c r="E34" s="32">
        <v>227.14</v>
      </c>
      <c r="F34" s="29">
        <v>471.73</v>
      </c>
      <c r="G34" s="30">
        <v>107148.75</v>
      </c>
      <c r="H34" s="31"/>
      <c r="J34" s="1" t="s">
        <v>29</v>
      </c>
      <c r="T34" s="23"/>
      <c r="U34" s="23"/>
    </row>
    <row r="35" spans="1:21" customFormat="1" ht="14.4" x14ac:dyDescent="0.3">
      <c r="A35" s="27"/>
      <c r="B35" s="25"/>
      <c r="C35" s="36" t="s">
        <v>51</v>
      </c>
      <c r="D35" s="24" t="s">
        <v>52</v>
      </c>
      <c r="E35" s="24"/>
      <c r="F35" s="34"/>
      <c r="G35" s="37">
        <v>751057.98</v>
      </c>
      <c r="H35" s="31"/>
      <c r="T35" s="23"/>
      <c r="U35" s="23"/>
    </row>
    <row r="36" spans="1:21" customFormat="1" ht="14.4" x14ac:dyDescent="0.3">
      <c r="A36" s="63" t="s">
        <v>53</v>
      </c>
      <c r="B36" s="63"/>
      <c r="C36" s="63"/>
      <c r="D36" s="63"/>
      <c r="E36" s="63"/>
      <c r="F36" s="63"/>
      <c r="G36" s="63"/>
      <c r="H36" s="22"/>
      <c r="T36" s="23"/>
      <c r="U36" s="23" t="s">
        <v>53</v>
      </c>
    </row>
    <row r="37" spans="1:21" customFormat="1" ht="20.399999999999999" x14ac:dyDescent="0.3">
      <c r="A37" s="24">
        <f>IF(J37&lt;&gt;"",COUNTA(J$1:J37),"")</f>
        <v>13</v>
      </c>
      <c r="B37" s="25" t="s">
        <v>54</v>
      </c>
      <c r="C37" s="26" t="s">
        <v>55</v>
      </c>
      <c r="D37" s="27" t="s">
        <v>56</v>
      </c>
      <c r="E37" s="32">
        <v>29.53</v>
      </c>
      <c r="F37" s="29">
        <v>6.61</v>
      </c>
      <c r="G37" s="29">
        <v>195.19</v>
      </c>
      <c r="H37" s="31"/>
      <c r="J37" s="1" t="s">
        <v>29</v>
      </c>
      <c r="T37" s="23"/>
      <c r="U37" s="23"/>
    </row>
    <row r="38" spans="1:21" customFormat="1" ht="30.6" x14ac:dyDescent="0.3">
      <c r="A38" s="24">
        <f>IF(J38&lt;&gt;"",COUNTA(J$1:J38),"")</f>
        <v>14</v>
      </c>
      <c r="B38" s="25" t="s">
        <v>57</v>
      </c>
      <c r="C38" s="26" t="s">
        <v>58</v>
      </c>
      <c r="D38" s="27" t="s">
        <v>56</v>
      </c>
      <c r="E38" s="32">
        <v>4.18</v>
      </c>
      <c r="F38" s="34" t="s">
        <v>59</v>
      </c>
      <c r="G38" s="34" t="s">
        <v>60</v>
      </c>
      <c r="H38" s="31"/>
      <c r="J38" s="1" t="s">
        <v>29</v>
      </c>
      <c r="T38" s="23"/>
      <c r="U38" s="23"/>
    </row>
    <row r="39" spans="1:21" customFormat="1" ht="30.6" x14ac:dyDescent="0.3">
      <c r="A39" s="24">
        <f>IF(J39&lt;&gt;"",COUNTA(J$1:J39),"")</f>
        <v>15</v>
      </c>
      <c r="B39" s="25" t="s">
        <v>61</v>
      </c>
      <c r="C39" s="26" t="s">
        <v>62</v>
      </c>
      <c r="D39" s="27" t="s">
        <v>56</v>
      </c>
      <c r="E39" s="32">
        <v>11.38</v>
      </c>
      <c r="F39" s="34" t="s">
        <v>63</v>
      </c>
      <c r="G39" s="34" t="s">
        <v>64</v>
      </c>
      <c r="H39" s="31"/>
      <c r="J39" s="1" t="s">
        <v>29</v>
      </c>
      <c r="T39" s="23"/>
      <c r="U39" s="23"/>
    </row>
    <row r="40" spans="1:21" customFormat="1" ht="30.6" x14ac:dyDescent="0.3">
      <c r="A40" s="24">
        <f>IF(J40&lt;&gt;"",COUNTA(J$1:J40),"")</f>
        <v>16</v>
      </c>
      <c r="B40" s="25" t="s">
        <v>65</v>
      </c>
      <c r="C40" s="26" t="s">
        <v>66</v>
      </c>
      <c r="D40" s="27" t="s">
        <v>56</v>
      </c>
      <c r="E40" s="32">
        <v>14.65</v>
      </c>
      <c r="F40" s="34" t="s">
        <v>67</v>
      </c>
      <c r="G40" s="34" t="s">
        <v>68</v>
      </c>
      <c r="H40" s="31"/>
      <c r="J40" s="1" t="s">
        <v>29</v>
      </c>
      <c r="T40" s="23"/>
      <c r="U40" s="23"/>
    </row>
    <row r="41" spans="1:21" customFormat="1" ht="30.6" x14ac:dyDescent="0.3">
      <c r="A41" s="24">
        <f>IF(J41&lt;&gt;"",COUNTA(J$1:J41),"")</f>
        <v>17</v>
      </c>
      <c r="B41" s="25" t="s">
        <v>69</v>
      </c>
      <c r="C41" s="26" t="s">
        <v>70</v>
      </c>
      <c r="D41" s="27" t="s">
        <v>56</v>
      </c>
      <c r="E41" s="32">
        <v>83.62</v>
      </c>
      <c r="F41" s="34" t="s">
        <v>71</v>
      </c>
      <c r="G41" s="34" t="s">
        <v>72</v>
      </c>
      <c r="H41" s="31"/>
      <c r="J41" s="1" t="s">
        <v>29</v>
      </c>
      <c r="T41" s="23"/>
      <c r="U41" s="23"/>
    </row>
    <row r="42" spans="1:21" customFormat="1" ht="14.4" x14ac:dyDescent="0.3">
      <c r="A42" s="24">
        <f>IF(J42&lt;&gt;"",COUNTA(J$1:J42),"")</f>
        <v>18</v>
      </c>
      <c r="B42" s="25" t="s">
        <v>73</v>
      </c>
      <c r="C42" s="26" t="s">
        <v>74</v>
      </c>
      <c r="D42" s="27" t="s">
        <v>56</v>
      </c>
      <c r="E42" s="32">
        <v>3.14</v>
      </c>
      <c r="F42" s="29">
        <v>5.87</v>
      </c>
      <c r="G42" s="29">
        <v>18.43</v>
      </c>
      <c r="H42" s="31"/>
      <c r="J42" s="1" t="s">
        <v>29</v>
      </c>
      <c r="T42" s="23"/>
      <c r="U42" s="23"/>
    </row>
    <row r="43" spans="1:21" customFormat="1" ht="14.4" x14ac:dyDescent="0.3">
      <c r="A43" s="24">
        <f>IF(J43&lt;&gt;"",COUNTA(J$1:J43),"")</f>
        <v>19</v>
      </c>
      <c r="B43" s="25" t="s">
        <v>75</v>
      </c>
      <c r="C43" s="26" t="s">
        <v>76</v>
      </c>
      <c r="D43" s="27" t="s">
        <v>56</v>
      </c>
      <c r="E43" s="32">
        <v>0.52</v>
      </c>
      <c r="F43" s="29">
        <v>10.55</v>
      </c>
      <c r="G43" s="29">
        <v>5.5</v>
      </c>
      <c r="H43" s="31"/>
      <c r="J43" s="1" t="s">
        <v>29</v>
      </c>
      <c r="T43" s="23"/>
      <c r="U43" s="23"/>
    </row>
    <row r="44" spans="1:21" customFormat="1" ht="14.4" x14ac:dyDescent="0.3">
      <c r="A44" s="24">
        <f>IF(J44&lt;&gt;"",COUNTA(J$1:J44),"")</f>
        <v>20</v>
      </c>
      <c r="B44" s="25" t="s">
        <v>77</v>
      </c>
      <c r="C44" s="26" t="s">
        <v>78</v>
      </c>
      <c r="D44" s="27" t="s">
        <v>56</v>
      </c>
      <c r="E44" s="32">
        <v>8.92</v>
      </c>
      <c r="F44" s="29">
        <v>22.36</v>
      </c>
      <c r="G44" s="29">
        <v>199.45</v>
      </c>
      <c r="H44" s="31"/>
      <c r="J44" s="1" t="s">
        <v>29</v>
      </c>
      <c r="T44" s="23"/>
      <c r="U44" s="23"/>
    </row>
    <row r="45" spans="1:21" customFormat="1" ht="30.6" x14ac:dyDescent="0.3">
      <c r="A45" s="24">
        <f>IF(J45&lt;&gt;"",COUNTA(J$1:J45),"")</f>
        <v>21</v>
      </c>
      <c r="B45" s="25" t="s">
        <v>79</v>
      </c>
      <c r="C45" s="26" t="s">
        <v>80</v>
      </c>
      <c r="D45" s="27" t="s">
        <v>56</v>
      </c>
      <c r="E45" s="32">
        <v>0.52</v>
      </c>
      <c r="F45" s="34" t="s">
        <v>81</v>
      </c>
      <c r="G45" s="34" t="s">
        <v>82</v>
      </c>
      <c r="H45" s="31"/>
      <c r="J45" s="1" t="s">
        <v>29</v>
      </c>
      <c r="T45" s="23"/>
      <c r="U45" s="23"/>
    </row>
    <row r="46" spans="1:21" customFormat="1" ht="30.6" x14ac:dyDescent="0.3">
      <c r="A46" s="24">
        <f>IF(J46&lt;&gt;"",COUNTA(J$1:J46),"")</f>
        <v>22</v>
      </c>
      <c r="B46" s="25" t="s">
        <v>83</v>
      </c>
      <c r="C46" s="26" t="s">
        <v>84</v>
      </c>
      <c r="D46" s="27" t="s">
        <v>56</v>
      </c>
      <c r="E46" s="32">
        <v>76.569999999999993</v>
      </c>
      <c r="F46" s="34" t="s">
        <v>85</v>
      </c>
      <c r="G46" s="34" t="s">
        <v>86</v>
      </c>
      <c r="H46" s="31"/>
      <c r="J46" s="1" t="s">
        <v>29</v>
      </c>
      <c r="T46" s="23"/>
      <c r="U46" s="23"/>
    </row>
    <row r="47" spans="1:21" customFormat="1" ht="30.6" x14ac:dyDescent="0.3">
      <c r="A47" s="24">
        <f>IF(J47&lt;&gt;"",COUNTA(J$1:J47),"")</f>
        <v>23</v>
      </c>
      <c r="B47" s="25" t="s">
        <v>87</v>
      </c>
      <c r="C47" s="26" t="s">
        <v>88</v>
      </c>
      <c r="D47" s="27" t="s">
        <v>56</v>
      </c>
      <c r="E47" s="32">
        <v>19.53</v>
      </c>
      <c r="F47" s="34" t="s">
        <v>89</v>
      </c>
      <c r="G47" s="34" t="s">
        <v>90</v>
      </c>
      <c r="H47" s="31"/>
      <c r="J47" s="1" t="s">
        <v>29</v>
      </c>
      <c r="T47" s="23"/>
      <c r="U47" s="23"/>
    </row>
    <row r="48" spans="1:21" customFormat="1" ht="14.4" x14ac:dyDescent="0.3">
      <c r="A48" s="24">
        <f>IF(J48&lt;&gt;"",COUNTA(J$1:J48),"")</f>
        <v>24</v>
      </c>
      <c r="B48" s="25" t="s">
        <v>91</v>
      </c>
      <c r="C48" s="26" t="s">
        <v>92</v>
      </c>
      <c r="D48" s="27" t="s">
        <v>56</v>
      </c>
      <c r="E48" s="32">
        <v>58.53</v>
      </c>
      <c r="F48" s="29">
        <v>3.06</v>
      </c>
      <c r="G48" s="29">
        <v>179.1</v>
      </c>
      <c r="H48" s="31"/>
      <c r="J48" s="1" t="s">
        <v>29</v>
      </c>
      <c r="T48" s="23"/>
      <c r="U48" s="23"/>
    </row>
    <row r="49" spans="1:21" customFormat="1" ht="20.399999999999999" x14ac:dyDescent="0.3">
      <c r="A49" s="24">
        <f>IF(J49&lt;&gt;"",COUNTA(J$1:J49),"")</f>
        <v>25</v>
      </c>
      <c r="B49" s="25" t="s">
        <v>93</v>
      </c>
      <c r="C49" s="26" t="s">
        <v>94</v>
      </c>
      <c r="D49" s="27" t="s">
        <v>56</v>
      </c>
      <c r="E49" s="32">
        <v>2.95</v>
      </c>
      <c r="F49" s="29">
        <v>8.33</v>
      </c>
      <c r="G49" s="29">
        <v>24.57</v>
      </c>
      <c r="H49" s="31"/>
      <c r="J49" s="1" t="s">
        <v>29</v>
      </c>
      <c r="T49" s="23"/>
      <c r="U49" s="23"/>
    </row>
    <row r="50" spans="1:21" customFormat="1" ht="30.6" x14ac:dyDescent="0.3">
      <c r="A50" s="24">
        <f>IF(J50&lt;&gt;"",COUNTA(J$1:J50),"")</f>
        <v>26</v>
      </c>
      <c r="B50" s="25" t="s">
        <v>95</v>
      </c>
      <c r="C50" s="26" t="s">
        <v>96</v>
      </c>
      <c r="D50" s="27" t="s">
        <v>56</v>
      </c>
      <c r="E50" s="32">
        <v>220.48</v>
      </c>
      <c r="F50" s="34" t="s">
        <v>97</v>
      </c>
      <c r="G50" s="34" t="s">
        <v>98</v>
      </c>
      <c r="H50" s="31"/>
      <c r="J50" s="1" t="s">
        <v>29</v>
      </c>
      <c r="T50" s="23"/>
      <c r="U50" s="23"/>
    </row>
    <row r="51" spans="1:21" customFormat="1" ht="30.6" x14ac:dyDescent="0.3">
      <c r="A51" s="24">
        <f>IF(J51&lt;&gt;"",COUNTA(J$1:J51),"")</f>
        <v>27</v>
      </c>
      <c r="B51" s="25" t="s">
        <v>99</v>
      </c>
      <c r="C51" s="26" t="s">
        <v>100</v>
      </c>
      <c r="D51" s="27" t="s">
        <v>56</v>
      </c>
      <c r="E51" s="32">
        <v>33.71</v>
      </c>
      <c r="F51" s="34" t="s">
        <v>101</v>
      </c>
      <c r="G51" s="34" t="s">
        <v>102</v>
      </c>
      <c r="H51" s="31"/>
      <c r="J51" s="1" t="s">
        <v>29</v>
      </c>
      <c r="T51" s="23"/>
      <c r="U51" s="23"/>
    </row>
    <row r="52" spans="1:21" customFormat="1" ht="20.399999999999999" x14ac:dyDescent="0.3">
      <c r="A52" s="24">
        <f>IF(J52&lt;&gt;"",COUNTA(J$1:J52),"")</f>
        <v>28</v>
      </c>
      <c r="B52" s="25" t="s">
        <v>103</v>
      </c>
      <c r="C52" s="26" t="s">
        <v>104</v>
      </c>
      <c r="D52" s="27" t="s">
        <v>56</v>
      </c>
      <c r="E52" s="32">
        <v>36.82</v>
      </c>
      <c r="F52" s="29">
        <v>20.16</v>
      </c>
      <c r="G52" s="29">
        <v>742.29</v>
      </c>
      <c r="H52" s="31"/>
      <c r="J52" s="1" t="s">
        <v>29</v>
      </c>
      <c r="T52" s="23"/>
      <c r="U52" s="23"/>
    </row>
    <row r="53" spans="1:21" customFormat="1" ht="30.6" x14ac:dyDescent="0.3">
      <c r="A53" s="24">
        <f>IF(J53&lt;&gt;"",COUNTA(J$1:J53),"")</f>
        <v>29</v>
      </c>
      <c r="B53" s="25" t="s">
        <v>105</v>
      </c>
      <c r="C53" s="26" t="s">
        <v>106</v>
      </c>
      <c r="D53" s="27" t="s">
        <v>56</v>
      </c>
      <c r="E53" s="32">
        <v>2.87</v>
      </c>
      <c r="F53" s="29">
        <v>1.47</v>
      </c>
      <c r="G53" s="29">
        <v>4.22</v>
      </c>
      <c r="H53" s="31"/>
      <c r="J53" s="1" t="s">
        <v>29</v>
      </c>
      <c r="T53" s="23"/>
      <c r="U53" s="23"/>
    </row>
    <row r="54" spans="1:21" customFormat="1" ht="30.6" x14ac:dyDescent="0.3">
      <c r="A54" s="24">
        <f>IF(J54&lt;&gt;"",COUNTA(J$1:J54),"")</f>
        <v>30</v>
      </c>
      <c r="B54" s="25" t="s">
        <v>107</v>
      </c>
      <c r="C54" s="26" t="s">
        <v>108</v>
      </c>
      <c r="D54" s="27" t="s">
        <v>56</v>
      </c>
      <c r="E54" s="32">
        <v>220.48</v>
      </c>
      <c r="F54" s="29">
        <v>14.24</v>
      </c>
      <c r="G54" s="30">
        <v>3139.64</v>
      </c>
      <c r="H54" s="31"/>
      <c r="J54" s="1" t="s">
        <v>29</v>
      </c>
      <c r="T54" s="23"/>
      <c r="U54" s="23"/>
    </row>
    <row r="55" spans="1:21" customFormat="1" ht="14.4" x14ac:dyDescent="0.3">
      <c r="A55" s="24">
        <f>IF(J55&lt;&gt;"",COUNTA(J$1:J55),"")</f>
        <v>31</v>
      </c>
      <c r="B55" s="25" t="s">
        <v>109</v>
      </c>
      <c r="C55" s="26" t="s">
        <v>110</v>
      </c>
      <c r="D55" s="27" t="s">
        <v>56</v>
      </c>
      <c r="E55" s="28">
        <v>104</v>
      </c>
      <c r="F55" s="29">
        <v>2.0299999999999998</v>
      </c>
      <c r="G55" s="29">
        <v>211.12</v>
      </c>
      <c r="H55" s="31"/>
      <c r="J55" s="1" t="s">
        <v>29</v>
      </c>
      <c r="T55" s="23"/>
      <c r="U55" s="23"/>
    </row>
    <row r="56" spans="1:21" customFormat="1" ht="14.4" x14ac:dyDescent="0.3">
      <c r="A56" s="27"/>
      <c r="B56" s="25"/>
      <c r="C56" s="36" t="s">
        <v>111</v>
      </c>
      <c r="D56" s="24" t="s">
        <v>52</v>
      </c>
      <c r="E56" s="24"/>
      <c r="F56" s="34"/>
      <c r="G56" s="37">
        <v>878525.89</v>
      </c>
      <c r="H56" s="31"/>
      <c r="T56" s="23"/>
      <c r="U56" s="23"/>
    </row>
    <row r="57" spans="1:21" customFormat="1" ht="14.4" x14ac:dyDescent="0.3">
      <c r="A57" s="63" t="s">
        <v>112</v>
      </c>
      <c r="B57" s="63"/>
      <c r="C57" s="63"/>
      <c r="D57" s="63"/>
      <c r="E57" s="63"/>
      <c r="F57" s="63"/>
      <c r="G57" s="63"/>
      <c r="H57" s="22"/>
      <c r="T57" s="23"/>
      <c r="U57" s="23" t="s">
        <v>112</v>
      </c>
    </row>
    <row r="58" spans="1:21" customFormat="1" ht="14.4" x14ac:dyDescent="0.3">
      <c r="A58" s="24">
        <f>IF(J58&lt;&gt;"",COUNTA(J$1:J58),"")</f>
        <v>32</v>
      </c>
      <c r="B58" s="25" t="s">
        <v>113</v>
      </c>
      <c r="C58" s="26" t="s">
        <v>114</v>
      </c>
      <c r="D58" s="27" t="s">
        <v>115</v>
      </c>
      <c r="E58" s="38">
        <v>43.347700000000003</v>
      </c>
      <c r="F58" s="29">
        <v>142.93</v>
      </c>
      <c r="G58" s="30">
        <v>6195.68</v>
      </c>
      <c r="H58" s="31"/>
      <c r="J58" s="1" t="s">
        <v>29</v>
      </c>
      <c r="T58" s="23"/>
      <c r="U58" s="23"/>
    </row>
    <row r="59" spans="1:21" customFormat="1" ht="14.4" x14ac:dyDescent="0.3">
      <c r="A59" s="24">
        <f>IF(J59&lt;&gt;"",COUNTA(J$1:J59),"")</f>
        <v>33</v>
      </c>
      <c r="B59" s="25" t="s">
        <v>116</v>
      </c>
      <c r="C59" s="26" t="s">
        <v>117</v>
      </c>
      <c r="D59" s="27" t="s">
        <v>118</v>
      </c>
      <c r="E59" s="39">
        <v>13.03506</v>
      </c>
      <c r="F59" s="29">
        <v>46.45</v>
      </c>
      <c r="G59" s="29">
        <v>605.47</v>
      </c>
      <c r="H59" s="31"/>
      <c r="J59" s="1" t="s">
        <v>29</v>
      </c>
      <c r="T59" s="23"/>
      <c r="U59" s="23"/>
    </row>
    <row r="60" spans="1:21" customFormat="1" ht="14.4" x14ac:dyDescent="0.3">
      <c r="A60" s="24">
        <f>IF(J60&lt;&gt;"",COUNTA(J$1:J60),"")</f>
        <v>34</v>
      </c>
      <c r="B60" s="25" t="s">
        <v>119</v>
      </c>
      <c r="C60" s="26" t="s">
        <v>120</v>
      </c>
      <c r="D60" s="27" t="s">
        <v>121</v>
      </c>
      <c r="E60" s="40">
        <v>7.1399169999999996</v>
      </c>
      <c r="F60" s="29">
        <v>3.9</v>
      </c>
      <c r="G60" s="29">
        <v>27.84</v>
      </c>
      <c r="H60" s="31"/>
      <c r="J60" s="1" t="s">
        <v>29</v>
      </c>
      <c r="T60" s="23"/>
      <c r="U60" s="23"/>
    </row>
    <row r="61" spans="1:21" customFormat="1" ht="14.4" x14ac:dyDescent="0.3">
      <c r="A61" s="24">
        <f>IF(J61&lt;&gt;"",COUNTA(J$1:J61),"")</f>
        <v>35</v>
      </c>
      <c r="B61" s="25" t="s">
        <v>122</v>
      </c>
      <c r="C61" s="26" t="s">
        <v>123</v>
      </c>
      <c r="D61" s="27" t="s">
        <v>124</v>
      </c>
      <c r="E61" s="40">
        <v>3.4737999999999998E-2</v>
      </c>
      <c r="F61" s="30">
        <v>141534.26999999999</v>
      </c>
      <c r="G61" s="30">
        <v>4916.62</v>
      </c>
      <c r="H61" s="31"/>
      <c r="J61" s="1" t="s">
        <v>29</v>
      </c>
      <c r="T61" s="23"/>
      <c r="U61" s="23"/>
    </row>
    <row r="62" spans="1:21" customFormat="1" ht="14.4" x14ac:dyDescent="0.3">
      <c r="A62" s="24">
        <f>IF(J62&lt;&gt;"",COUNTA(J$1:J62),"")</f>
        <v>36</v>
      </c>
      <c r="B62" s="25" t="s">
        <v>125</v>
      </c>
      <c r="C62" s="26" t="s">
        <v>126</v>
      </c>
      <c r="D62" s="27" t="s">
        <v>118</v>
      </c>
      <c r="E62" s="38">
        <v>260.4092</v>
      </c>
      <c r="F62" s="29">
        <v>54</v>
      </c>
      <c r="G62" s="30">
        <v>14062.1</v>
      </c>
      <c r="H62" s="31"/>
      <c r="J62" s="1" t="s">
        <v>29</v>
      </c>
      <c r="T62" s="23"/>
      <c r="U62" s="23"/>
    </row>
    <row r="63" spans="1:21" customFormat="1" ht="14.4" x14ac:dyDescent="0.3">
      <c r="A63" s="24">
        <f>IF(J63&lt;&gt;"",COUNTA(J$1:J63),"")</f>
        <v>37</v>
      </c>
      <c r="B63" s="25" t="s">
        <v>127</v>
      </c>
      <c r="C63" s="26" t="s">
        <v>128</v>
      </c>
      <c r="D63" s="27" t="s">
        <v>124</v>
      </c>
      <c r="E63" s="40">
        <v>3.4200000000000002E-4</v>
      </c>
      <c r="F63" s="30">
        <v>205000</v>
      </c>
      <c r="G63" s="29">
        <v>70.12</v>
      </c>
      <c r="H63" s="31"/>
      <c r="J63" s="1" t="s">
        <v>29</v>
      </c>
      <c r="T63" s="23"/>
      <c r="U63" s="23"/>
    </row>
    <row r="64" spans="1:21" customFormat="1" ht="14.4" x14ac:dyDescent="0.3">
      <c r="A64" s="24">
        <f>IF(J64&lt;&gt;"",COUNTA(J$1:J64),"")</f>
        <v>38</v>
      </c>
      <c r="B64" s="25" t="s">
        <v>129</v>
      </c>
      <c r="C64" s="26" t="s">
        <v>130</v>
      </c>
      <c r="D64" s="27" t="s">
        <v>124</v>
      </c>
      <c r="E64" s="41">
        <v>41.183</v>
      </c>
      <c r="F64" s="30">
        <v>2878.75</v>
      </c>
      <c r="G64" s="30">
        <v>118555.56</v>
      </c>
      <c r="H64" s="31"/>
      <c r="J64" s="1" t="s">
        <v>29</v>
      </c>
      <c r="T64" s="23"/>
      <c r="U64" s="23"/>
    </row>
    <row r="65" spans="1:21" customFormat="1" ht="14.4" x14ac:dyDescent="0.3">
      <c r="A65" s="24">
        <f>IF(J65&lt;&gt;"",COUNTA(J$1:J65),"")</f>
        <v>39</v>
      </c>
      <c r="B65" s="25" t="s">
        <v>131</v>
      </c>
      <c r="C65" s="26" t="s">
        <v>132</v>
      </c>
      <c r="D65" s="27" t="s">
        <v>118</v>
      </c>
      <c r="E65" s="28">
        <v>52</v>
      </c>
      <c r="F65" s="29">
        <v>118.74</v>
      </c>
      <c r="G65" s="30">
        <v>6174.48</v>
      </c>
      <c r="H65" s="31"/>
      <c r="J65" s="1" t="s">
        <v>29</v>
      </c>
      <c r="T65" s="23"/>
      <c r="U65" s="23"/>
    </row>
    <row r="66" spans="1:21" customFormat="1" ht="20.399999999999999" x14ac:dyDescent="0.3">
      <c r="A66" s="24">
        <f>IF(J66&lt;&gt;"",COUNTA(J$1:J66),"")</f>
        <v>40</v>
      </c>
      <c r="B66" s="25" t="s">
        <v>133</v>
      </c>
      <c r="C66" s="26" t="s">
        <v>134</v>
      </c>
      <c r="D66" s="27" t="s">
        <v>124</v>
      </c>
      <c r="E66" s="39">
        <v>3.4299999999999999E-3</v>
      </c>
      <c r="F66" s="30">
        <v>306173.56</v>
      </c>
      <c r="G66" s="30">
        <v>1050.18</v>
      </c>
      <c r="H66" s="31"/>
      <c r="J66" s="1" t="s">
        <v>29</v>
      </c>
      <c r="T66" s="23"/>
      <c r="U66" s="23"/>
    </row>
    <row r="67" spans="1:21" customFormat="1" ht="20.399999999999999" x14ac:dyDescent="0.3">
      <c r="A67" s="24">
        <f>IF(J67&lt;&gt;"",COUNTA(J$1:J67),"")</f>
        <v>41</v>
      </c>
      <c r="B67" s="25" t="s">
        <v>135</v>
      </c>
      <c r="C67" s="26" t="s">
        <v>136</v>
      </c>
      <c r="D67" s="27" t="s">
        <v>124</v>
      </c>
      <c r="E67" s="39">
        <v>2.0181800000000001</v>
      </c>
      <c r="F67" s="30">
        <v>175000</v>
      </c>
      <c r="G67" s="30">
        <v>353181.5</v>
      </c>
      <c r="H67" s="31"/>
      <c r="J67" s="1" t="s">
        <v>29</v>
      </c>
      <c r="T67" s="23"/>
      <c r="U67" s="23"/>
    </row>
    <row r="68" spans="1:21" customFormat="1" ht="20.399999999999999" x14ac:dyDescent="0.3">
      <c r="A68" s="24">
        <f>IF(J68&lt;&gt;"",COUNTA(J$1:J68),"")</f>
        <v>42</v>
      </c>
      <c r="B68" s="25" t="s">
        <v>137</v>
      </c>
      <c r="C68" s="26" t="s">
        <v>138</v>
      </c>
      <c r="D68" s="27" t="s">
        <v>124</v>
      </c>
      <c r="E68" s="40">
        <v>0.60411800000000004</v>
      </c>
      <c r="F68" s="30">
        <v>175000</v>
      </c>
      <c r="G68" s="30">
        <v>105720.65</v>
      </c>
      <c r="H68" s="31"/>
      <c r="J68" s="1" t="s">
        <v>29</v>
      </c>
      <c r="T68" s="23"/>
      <c r="U68" s="23"/>
    </row>
    <row r="69" spans="1:21" customFormat="1" ht="30.6" x14ac:dyDescent="0.3">
      <c r="A69" s="24">
        <f>IF(J69&lt;&gt;"",COUNTA(J$1:J69),"")</f>
        <v>43</v>
      </c>
      <c r="B69" s="25" t="s">
        <v>139</v>
      </c>
      <c r="C69" s="26" t="s">
        <v>140</v>
      </c>
      <c r="D69" s="27" t="s">
        <v>124</v>
      </c>
      <c r="E69" s="39">
        <v>32.280470000000001</v>
      </c>
      <c r="F69" s="30">
        <v>175000</v>
      </c>
      <c r="G69" s="30">
        <v>5649082.25</v>
      </c>
      <c r="H69" s="31"/>
      <c r="J69" s="1" t="s">
        <v>29</v>
      </c>
      <c r="T69" s="23"/>
      <c r="U69" s="23"/>
    </row>
    <row r="70" spans="1:21" customFormat="1" ht="30.6" x14ac:dyDescent="0.3">
      <c r="A70" s="24">
        <f>IF(J70&lt;&gt;"",COUNTA(J$1:J70),"")</f>
        <v>44</v>
      </c>
      <c r="B70" s="25" t="s">
        <v>141</v>
      </c>
      <c r="C70" s="26" t="s">
        <v>142</v>
      </c>
      <c r="D70" s="27" t="s">
        <v>143</v>
      </c>
      <c r="E70" s="40">
        <v>0.64138600000000001</v>
      </c>
      <c r="F70" s="29">
        <v>432.18</v>
      </c>
      <c r="G70" s="29">
        <v>277.2</v>
      </c>
      <c r="H70" s="31"/>
      <c r="J70" s="1" t="s">
        <v>29</v>
      </c>
      <c r="T70" s="23"/>
      <c r="U70" s="23"/>
    </row>
    <row r="71" spans="1:21" customFormat="1" ht="14.4" x14ac:dyDescent="0.3">
      <c r="A71" s="24">
        <f>IF(J71&lt;&gt;"",COUNTA(J$1:J71),"")</f>
        <v>45</v>
      </c>
      <c r="B71" s="25" t="s">
        <v>144</v>
      </c>
      <c r="C71" s="26" t="s">
        <v>145</v>
      </c>
      <c r="D71" s="27" t="s">
        <v>124</v>
      </c>
      <c r="E71" s="40">
        <v>1.029E-3</v>
      </c>
      <c r="F71" s="30">
        <v>177500</v>
      </c>
      <c r="G71" s="29">
        <v>182.65</v>
      </c>
      <c r="H71" s="31"/>
      <c r="J71" s="1" t="s">
        <v>29</v>
      </c>
      <c r="T71" s="23"/>
      <c r="U71" s="23"/>
    </row>
    <row r="72" spans="1:21" customFormat="1" ht="14.4" x14ac:dyDescent="0.3">
      <c r="A72" s="24">
        <f>IF(J72&lt;&gt;"",COUNTA(J$1:J72),"")</f>
        <v>46</v>
      </c>
      <c r="B72" s="25" t="s">
        <v>146</v>
      </c>
      <c r="C72" s="26" t="s">
        <v>147</v>
      </c>
      <c r="D72" s="27" t="s">
        <v>124</v>
      </c>
      <c r="E72" s="40">
        <v>6.6539000000000001E-2</v>
      </c>
      <c r="F72" s="30">
        <v>91304</v>
      </c>
      <c r="G72" s="30">
        <v>6075.28</v>
      </c>
      <c r="H72" s="31"/>
      <c r="J72" s="1" t="s">
        <v>29</v>
      </c>
      <c r="T72" s="23"/>
      <c r="U72" s="23"/>
    </row>
    <row r="73" spans="1:21" customFormat="1" ht="30.6" x14ac:dyDescent="0.3">
      <c r="A73" s="24">
        <f>IF(J73&lt;&gt;"",COUNTA(J$1:J73),"")</f>
        <v>47</v>
      </c>
      <c r="B73" s="25" t="s">
        <v>148</v>
      </c>
      <c r="C73" s="26" t="s">
        <v>149</v>
      </c>
      <c r="D73" s="27" t="s">
        <v>115</v>
      </c>
      <c r="E73" s="40">
        <v>2.6705E-2</v>
      </c>
      <c r="F73" s="30">
        <v>15665.05</v>
      </c>
      <c r="G73" s="29">
        <v>418.34</v>
      </c>
      <c r="H73" s="31"/>
      <c r="J73" s="1" t="s">
        <v>29</v>
      </c>
      <c r="T73" s="23"/>
      <c r="U73" s="23"/>
    </row>
    <row r="74" spans="1:21" customFormat="1" ht="14.4" x14ac:dyDescent="0.3">
      <c r="A74" s="24">
        <f>IF(J74&lt;&gt;"",COUNTA(J$1:J74),"")</f>
        <v>48</v>
      </c>
      <c r="B74" s="25" t="s">
        <v>150</v>
      </c>
      <c r="C74" s="26" t="s">
        <v>151</v>
      </c>
      <c r="D74" s="27" t="s">
        <v>124</v>
      </c>
      <c r="E74" s="40">
        <v>1.0633E-2</v>
      </c>
      <c r="F74" s="30">
        <v>62000</v>
      </c>
      <c r="G74" s="29">
        <v>659.24</v>
      </c>
      <c r="H74" s="31"/>
      <c r="J74" s="1" t="s">
        <v>29</v>
      </c>
      <c r="T74" s="23"/>
      <c r="U74" s="23"/>
    </row>
    <row r="75" spans="1:21" customFormat="1" ht="14.4" x14ac:dyDescent="0.3">
      <c r="A75" s="24">
        <f>IF(J75&lt;&gt;"",COUNTA(J$1:J75),"")</f>
        <v>49</v>
      </c>
      <c r="B75" s="25" t="s">
        <v>152</v>
      </c>
      <c r="C75" s="26" t="s">
        <v>153</v>
      </c>
      <c r="D75" s="27" t="s">
        <v>118</v>
      </c>
      <c r="E75" s="38">
        <v>595.42079999999999</v>
      </c>
      <c r="F75" s="29">
        <v>990</v>
      </c>
      <c r="G75" s="30">
        <v>589466.59</v>
      </c>
      <c r="H75" s="31"/>
      <c r="J75" s="1" t="s">
        <v>29</v>
      </c>
      <c r="T75" s="23"/>
      <c r="U75" s="23"/>
    </row>
    <row r="76" spans="1:21" customFormat="1" ht="14.4" x14ac:dyDescent="0.3">
      <c r="A76" s="24">
        <f>IF(J76&lt;&gt;"",COUNTA(J$1:J76),"")</f>
        <v>50</v>
      </c>
      <c r="B76" s="25" t="s">
        <v>154</v>
      </c>
      <c r="C76" s="26" t="s">
        <v>155</v>
      </c>
      <c r="D76" s="27" t="s">
        <v>118</v>
      </c>
      <c r="E76" s="38">
        <v>504.56639999999999</v>
      </c>
      <c r="F76" s="30">
        <v>1200</v>
      </c>
      <c r="G76" s="30">
        <v>605479.68000000005</v>
      </c>
      <c r="H76" s="31"/>
      <c r="J76" s="1" t="s">
        <v>29</v>
      </c>
      <c r="T76" s="23"/>
      <c r="U76" s="23"/>
    </row>
    <row r="77" spans="1:21" customFormat="1" ht="14.4" x14ac:dyDescent="0.3">
      <c r="A77" s="24">
        <f>IF(J77&lt;&gt;"",COUNTA(J$1:J77),"")</f>
        <v>51</v>
      </c>
      <c r="B77" s="25" t="s">
        <v>156</v>
      </c>
      <c r="C77" s="26" t="s">
        <v>157</v>
      </c>
      <c r="D77" s="27" t="s">
        <v>118</v>
      </c>
      <c r="E77" s="41">
        <v>9.984</v>
      </c>
      <c r="F77" s="29">
        <v>104.59</v>
      </c>
      <c r="G77" s="30">
        <v>1044.23</v>
      </c>
      <c r="H77" s="31"/>
      <c r="J77" s="1" t="s">
        <v>29</v>
      </c>
      <c r="T77" s="23"/>
      <c r="U77" s="23"/>
    </row>
    <row r="78" spans="1:21" customFormat="1" ht="14.4" x14ac:dyDescent="0.3">
      <c r="A78" s="24">
        <f>IF(J78&lt;&gt;"",COUNTA(J$1:J78),"")</f>
        <v>52</v>
      </c>
      <c r="B78" s="25" t="s">
        <v>158</v>
      </c>
      <c r="C78" s="26" t="s">
        <v>159</v>
      </c>
      <c r="D78" s="27" t="s">
        <v>124</v>
      </c>
      <c r="E78" s="40">
        <v>5.1778999999999999E-2</v>
      </c>
      <c r="F78" s="30">
        <v>117840</v>
      </c>
      <c r="G78" s="30">
        <v>6101.63</v>
      </c>
      <c r="H78" s="31"/>
      <c r="J78" s="1" t="s">
        <v>29</v>
      </c>
      <c r="T78" s="23"/>
      <c r="U78" s="23"/>
    </row>
    <row r="79" spans="1:21" customFormat="1" ht="14.4" x14ac:dyDescent="0.3">
      <c r="A79" s="24">
        <f>IF(J79&lt;&gt;"",COUNTA(J$1:J79),"")</f>
        <v>53</v>
      </c>
      <c r="B79" s="25" t="s">
        <v>160</v>
      </c>
      <c r="C79" s="26" t="s">
        <v>161</v>
      </c>
      <c r="D79" s="27" t="s">
        <v>124</v>
      </c>
      <c r="E79" s="38">
        <v>0.34320000000000001</v>
      </c>
      <c r="F79" s="30">
        <v>130991.67</v>
      </c>
      <c r="G79" s="30">
        <v>44956.34</v>
      </c>
      <c r="H79" s="31"/>
      <c r="J79" s="1" t="s">
        <v>29</v>
      </c>
      <c r="T79" s="23"/>
      <c r="U79" s="23"/>
    </row>
    <row r="80" spans="1:21" customFormat="1" ht="20.399999999999999" x14ac:dyDescent="0.3">
      <c r="A80" s="24">
        <f>IF(J80&lt;&gt;"",COUNTA(J$1:J80),"")</f>
        <v>54</v>
      </c>
      <c r="B80" s="25" t="s">
        <v>162</v>
      </c>
      <c r="C80" s="26" t="s">
        <v>163</v>
      </c>
      <c r="D80" s="27" t="s">
        <v>124</v>
      </c>
      <c r="E80" s="40">
        <v>32.280509000000002</v>
      </c>
      <c r="F80" s="34" t="s">
        <v>164</v>
      </c>
      <c r="G80" s="30">
        <v>433285.13</v>
      </c>
      <c r="H80" s="31"/>
      <c r="J80" s="1" t="s">
        <v>29</v>
      </c>
      <c r="T80" s="23"/>
      <c r="U80" s="23"/>
    </row>
    <row r="81" spans="1:24" customFormat="1" ht="20.399999999999999" x14ac:dyDescent="0.3">
      <c r="A81" s="24">
        <f>IF(J81&lt;&gt;"",COUNTA(J$1:J81),"")</f>
        <v>55</v>
      </c>
      <c r="B81" s="25" t="s">
        <v>165</v>
      </c>
      <c r="C81" s="26" t="s">
        <v>166</v>
      </c>
      <c r="D81" s="27" t="s">
        <v>124</v>
      </c>
      <c r="E81" s="40">
        <v>1.581256</v>
      </c>
      <c r="F81" s="34" t="s">
        <v>164</v>
      </c>
      <c r="G81" s="30">
        <v>21224.41</v>
      </c>
      <c r="H81" s="31"/>
      <c r="J81" s="1" t="s">
        <v>29</v>
      </c>
      <c r="T81" s="23"/>
      <c r="U81" s="23"/>
    </row>
    <row r="82" spans="1:24" customFormat="1" ht="14.4" x14ac:dyDescent="0.3">
      <c r="A82" s="27"/>
      <c r="B82" s="25"/>
      <c r="C82" s="36" t="s">
        <v>167</v>
      </c>
      <c r="D82" s="24" t="s">
        <v>52</v>
      </c>
      <c r="E82" s="24"/>
      <c r="F82" s="34"/>
      <c r="G82" s="37">
        <v>7968813.1699999999</v>
      </c>
      <c r="H82" s="31"/>
      <c r="T82" s="23"/>
      <c r="U82" s="23"/>
    </row>
    <row r="83" spans="1:24" customFormat="1" ht="14.4" x14ac:dyDescent="0.3">
      <c r="A83" s="64" t="s">
        <v>168</v>
      </c>
      <c r="B83" s="65"/>
      <c r="C83" s="65"/>
      <c r="D83" s="65"/>
      <c r="E83" s="65"/>
      <c r="F83" s="66"/>
      <c r="G83" s="37">
        <v>9598411.5199999996</v>
      </c>
      <c r="H83" s="42"/>
      <c r="I83" s="42"/>
      <c r="J83" s="43"/>
      <c r="K83" s="43"/>
      <c r="L83" s="43"/>
      <c r="V83" s="44" t="s">
        <v>168</v>
      </c>
    </row>
    <row r="84" spans="1:24" customFormat="1" ht="14.4" x14ac:dyDescent="0.3">
      <c r="A84" s="64" t="s">
        <v>169</v>
      </c>
      <c r="B84" s="65"/>
      <c r="C84" s="65"/>
      <c r="D84" s="65"/>
      <c r="E84" s="65"/>
      <c r="F84" s="66"/>
      <c r="G84" s="37">
        <v>894771.98</v>
      </c>
      <c r="H84" s="42"/>
      <c r="I84" s="42"/>
      <c r="J84" s="43"/>
      <c r="K84" s="43"/>
      <c r="L84" s="43"/>
      <c r="V84" s="44" t="s">
        <v>169</v>
      </c>
    </row>
    <row r="85" spans="1:24" customFormat="1" ht="14.4" x14ac:dyDescent="0.3">
      <c r="A85" s="64" t="s">
        <v>170</v>
      </c>
      <c r="B85" s="65"/>
      <c r="C85" s="65"/>
      <c r="D85" s="65"/>
      <c r="E85" s="65"/>
      <c r="F85" s="66"/>
      <c r="G85" s="37">
        <v>538212.81999999995</v>
      </c>
      <c r="H85" s="42"/>
      <c r="I85" s="42"/>
      <c r="J85" s="43"/>
      <c r="K85" s="43"/>
      <c r="L85" s="43"/>
      <c r="V85" s="44" t="s">
        <v>170</v>
      </c>
    </row>
    <row r="86" spans="1:24" customFormat="1" ht="14.4" x14ac:dyDescent="0.3">
      <c r="A86" s="64" t="s">
        <v>171</v>
      </c>
      <c r="B86" s="65"/>
      <c r="C86" s="65"/>
      <c r="D86" s="65"/>
      <c r="E86" s="65"/>
      <c r="F86" s="66"/>
      <c r="G86" s="37">
        <v>11031396.32</v>
      </c>
      <c r="H86" s="42"/>
      <c r="I86" s="42"/>
      <c r="J86" s="43"/>
      <c r="K86" s="43"/>
      <c r="L86" s="43"/>
      <c r="V86" s="44" t="s">
        <v>171</v>
      </c>
    </row>
    <row r="87" spans="1:24" customFormat="1" ht="13.5" customHeight="1" x14ac:dyDescent="0.3"/>
    <row r="88" spans="1:24" customFormat="1" ht="14.4" x14ac:dyDescent="0.3">
      <c r="A88" s="45"/>
      <c r="B88" s="67" t="s">
        <v>172</v>
      </c>
      <c r="C88" s="67"/>
      <c r="D88" s="67" t="s">
        <v>173</v>
      </c>
      <c r="E88" s="67"/>
      <c r="F88" s="67"/>
      <c r="G88" s="67"/>
      <c r="H88" s="46"/>
      <c r="I88" s="46"/>
      <c r="J88" s="46"/>
      <c r="K88" s="46"/>
      <c r="L88" s="46"/>
      <c r="M88" s="46"/>
      <c r="N88" s="46"/>
      <c r="O88" s="46"/>
      <c r="W88" s="47" t="s">
        <v>172</v>
      </c>
      <c r="X88" s="47" t="s">
        <v>173</v>
      </c>
    </row>
    <row r="89" spans="1:24" customFormat="1" ht="11.25" customHeight="1" x14ac:dyDescent="0.3">
      <c r="B89" s="48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W89" s="47"/>
      <c r="X89" s="47"/>
    </row>
  </sheetData>
  <mergeCells count="27">
    <mergeCell ref="A84:F84"/>
    <mergeCell ref="A85:F85"/>
    <mergeCell ref="A86:F86"/>
    <mergeCell ref="B88:C88"/>
    <mergeCell ref="D88:G88"/>
    <mergeCell ref="A21:G21"/>
    <mergeCell ref="A22:G22"/>
    <mergeCell ref="A36:G36"/>
    <mergeCell ref="A57:G57"/>
    <mergeCell ref="A83:F83"/>
    <mergeCell ref="F16:G16"/>
    <mergeCell ref="A18:A19"/>
    <mergeCell ref="B18:B19"/>
    <mergeCell ref="C18:C19"/>
    <mergeCell ref="D18:D19"/>
    <mergeCell ref="E18:E19"/>
    <mergeCell ref="F18:G18"/>
    <mergeCell ref="C10:D10"/>
    <mergeCell ref="F12:G12"/>
    <mergeCell ref="F13:G13"/>
    <mergeCell ref="F14:G14"/>
    <mergeCell ref="F15:G15"/>
    <mergeCell ref="B1:G1"/>
    <mergeCell ref="B2:G2"/>
    <mergeCell ref="D4:F4"/>
    <mergeCell ref="B7:G7"/>
    <mergeCell ref="B8:G8"/>
  </mergeCells>
  <printOptions horizontalCentered="1"/>
  <pageMargins left="0.78740155696868896" right="0.39370077848434498" top="0.78740155696868896" bottom="0.39370077848434498" header="0.19685038924217199" footer="0.19685038924217199"/>
  <pageSetup paperSize="9" scale="71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03_97077_04-14-121-02 - РС</vt:lpstr>
      <vt:lpstr>'03_97077_04-14-121-02 - РС'!Заголовки_для_печати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Исхакова Рамиля Маратовна</dc:creator>
  <cp:lastModifiedBy>Исхакова Рамиля Маратовна</cp:lastModifiedBy>
  <cp:lastPrinted>2022-11-07T09:21:14Z</cp:lastPrinted>
  <dcterms:created xsi:type="dcterms:W3CDTF">2020-09-30T08:50:27Z</dcterms:created>
  <dcterms:modified xsi:type="dcterms:W3CDTF">2024-04-08T11:31:40Z</dcterms:modified>
</cp:coreProperties>
</file>